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ists" sheetId="2" state="visible" r:id="rId4"/>
    <sheet name="Task Tracker" sheetId="3" state="visible" r:id="rId5"/>
    <sheet name="Daily Status" sheetId="4" state="visible" r:id="rId6"/>
    <sheet name="Milestones" sheetId="5" state="visible" r:id="rId7"/>
    <sheet name="Risks &amp; Decisions" sheetId="6" state="visible" r:id="rId8"/>
  </sheets>
  <definedNames>
    <definedName function="false" hidden="true" localSheetId="3" name="_xlnm._FilterDatabase" vbProcedure="false">'Daily Status'!$A$1:$K$61</definedName>
    <definedName function="false" hidden="true" localSheetId="4" name="_xlnm._FilterDatabase" vbProcedure="false">Milestones!$A$1:$G$7</definedName>
    <definedName function="false" hidden="true" localSheetId="5" name="_xlnm._FilterDatabase" vbProcedure="false">'Risks &amp; Decisions'!$A$1:$I$7</definedName>
    <definedName function="false" hidden="true" localSheetId="2" name="_xlnm._FilterDatabase" vbProcedure="false">'Task Tracker'!$A$1:$P$91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<sst xmlns="http://schemas.openxmlformats.org/spreadsheetml/2006/main" count="1604" uniqueCount="654">
  <si>
    <t xml:space="preserve">FORMIVA PROJECT MANAGEMENT DASHBOARD</t>
  </si>
  <si>
    <t xml:space="preserve">Daily operating view | Update Task Tracker and Daily Status; dashboard formulas update automatically | v2.1 (PRD phase numbers, rebased calendar)</t>
  </si>
  <si>
    <t xml:space="preserve">Total Tasks</t>
  </si>
  <si>
    <t xml:space="preserve">Completed</t>
  </si>
  <si>
    <t xml:space="preserve">Blocked</t>
  </si>
  <si>
    <t xml:space="preserve">Avg Progress</t>
  </si>
  <si>
    <t xml:space="preserve">STATUS SUMMARY</t>
  </si>
  <si>
    <t xml:space="preserve">PHASE SUMMARY</t>
  </si>
  <si>
    <t xml:space="preserve">Not Started</t>
  </si>
  <si>
    <t xml:space="preserve">Phase 0 Discovery</t>
  </si>
  <si>
    <t xml:space="preserve">In Progress</t>
  </si>
  <si>
    <t xml:space="preserve">Phase 1 Foundations</t>
  </si>
  <si>
    <t xml:space="preserve">Phase 2 Database</t>
  </si>
  <si>
    <t xml:space="preserve">Done</t>
  </si>
  <si>
    <t xml:space="preserve">Phase 3 Intake</t>
  </si>
  <si>
    <t xml:space="preserve">On Hold</t>
  </si>
  <si>
    <t xml:space="preserve">Phase 4 Review</t>
  </si>
  <si>
    <t xml:space="preserve">Overdue or blocked (RED)</t>
  </si>
  <si>
    <t xml:space="preserve">Phase 5 Workers</t>
  </si>
  <si>
    <t xml:space="preserve">Due within 7 days (AMBER)</t>
  </si>
  <si>
    <t xml:space="preserve">Phase 6 AI Engine</t>
  </si>
  <si>
    <t xml:space="preserve">Phase 7 Routing + E2E</t>
  </si>
  <si>
    <t xml:space="preserve">Phase 8 Editor (gated)</t>
  </si>
  <si>
    <t xml:space="preserve">Phase 9 Integrations</t>
  </si>
  <si>
    <t xml:space="preserve">Phase 10 Hardening</t>
  </si>
  <si>
    <t xml:space="preserve">Phase 11 Measure</t>
  </si>
  <si>
    <t xml:space="preserve">NEXT GATE</t>
  </si>
  <si>
    <t xml:space="preserve">Next gate date</t>
  </si>
  <si>
    <t xml:space="preserve">Next gate</t>
  </si>
  <si>
    <t xml:space="preserve">TODAY / DAILY STATUS</t>
  </si>
  <si>
    <t xml:space="preserve">Today</t>
  </si>
  <si>
    <t xml:space="preserve">Current daily status</t>
  </si>
  <si>
    <t xml:space="preserve">Today focus</t>
  </si>
  <si>
    <t xml:space="preserve">NEXT ACTIONS</t>
  </si>
  <si>
    <t xml:space="preserve">Use the Task Tracker filters to identify overdue, blocked and high-priority work. Update % Complete as a decimal (e.g., 50% or 0.5). Phase 8 and 9 tasks are On Hold until three paid pilots or a pilot request (ADR-05). Rebuilt for v2.1 on 20 September 2026: dates start Monday 21 September 2026.</t>
  </si>
  <si>
    <t xml:space="preserve">Task Status</t>
  </si>
  <si>
    <t xml:space="preserve">Priority</t>
  </si>
  <si>
    <t xml:space="preserve">Area</t>
  </si>
  <si>
    <t xml:space="preserve">Owner</t>
  </si>
  <si>
    <t xml:space="preserve">Daily Status</t>
  </si>
  <si>
    <t xml:space="preserve">Critical</t>
  </si>
  <si>
    <t xml:space="preserve">Product</t>
  </si>
  <si>
    <t xml:space="preserve">Founder</t>
  </si>
  <si>
    <t xml:space="preserve">High</t>
  </si>
  <si>
    <t xml:space="preserve">AI Engine</t>
  </si>
  <si>
    <t xml:space="preserve">AI Assistant</t>
  </si>
  <si>
    <t xml:space="preserve">Medium</t>
  </si>
  <si>
    <t xml:space="preserve">Backend</t>
  </si>
  <si>
    <t xml:space="preserve">Developer</t>
  </si>
  <si>
    <t xml:space="preserve">Low</t>
  </si>
  <si>
    <t xml:space="preserve">Database</t>
  </si>
  <si>
    <t xml:space="preserve">Designer</t>
  </si>
  <si>
    <t xml:space="preserve">Frontend</t>
  </si>
  <si>
    <t xml:space="preserve">Advisor</t>
  </si>
  <si>
    <t xml:space="preserve">Workflow Builder</t>
  </si>
  <si>
    <t xml:space="preserve">External Provider</t>
  </si>
  <si>
    <t xml:space="preserve">Integrations</t>
  </si>
  <si>
    <t xml:space="preserve">Technical Reviewer</t>
  </si>
  <si>
    <t xml:space="preserve">Infrastructure</t>
  </si>
  <si>
    <t xml:space="preserve">Counsel</t>
  </si>
  <si>
    <t xml:space="preserve">Security</t>
  </si>
  <si>
    <t xml:space="preserve">GTM</t>
  </si>
  <si>
    <t xml:space="preserve">Founder Learning</t>
  </si>
  <si>
    <t xml:space="preserve">ID</t>
  </si>
  <si>
    <t xml:space="preserve">Phase</t>
  </si>
  <si>
    <t xml:space="preserve">Task</t>
  </si>
  <si>
    <t xml:space="preserve">Description / Definition of Done</t>
  </si>
  <si>
    <t xml:space="preserve">Status</t>
  </si>
  <si>
    <t xml:space="preserve">Start Date</t>
  </si>
  <si>
    <t xml:space="preserve">Due Date</t>
  </si>
  <si>
    <t xml:space="preserve">% Complete</t>
  </si>
  <si>
    <t xml:space="preserve">Dependencies</t>
  </si>
  <si>
    <t xml:space="preserve">Next Action</t>
  </si>
  <si>
    <t xml:space="preserve">Notes</t>
  </si>
  <si>
    <t xml:space="preserve">Days Left</t>
  </si>
  <si>
    <t xml:space="preserve">Health</t>
  </si>
  <si>
    <t xml:space="preserve">F-001</t>
  </si>
  <si>
    <t xml:space="preserve">Interview 15-20 target firms</t>
  </si>
  <si>
    <t xml:space="preserve">Same fields for every interview: recurring onboarding pain, tools, rework, time, willingness to pay. Wedge validated if 8 of 15 name the same rework problem.</t>
  </si>
  <si>
    <t xml:space="preserve">Build list of 40 target firms</t>
  </si>
  <si>
    <t xml:space="preserve">Business Plan gate; Coding Plan Phase 0</t>
  </si>
  <si>
    <t xml:space="preserve">F-002</t>
  </si>
  <si>
    <t xml:space="preserve">Recruit 3 committed design partners</t>
  </si>
  <si>
    <t xml:space="preserve">Three firms willing to pilot employee onboarding (letter of intent or paid pilot commitment).</t>
  </si>
  <si>
    <t xml:space="preserve">Ask at the end of every interview</t>
  </si>
  <si>
    <t xml:space="preserve">Discovery gate</t>
  </si>
  <si>
    <t xml:space="preserve">F-003</t>
  </si>
  <si>
    <t xml:space="preserve">Baseline worksheet and 20-minute diagnostic script</t>
  </si>
  <si>
    <t xml:space="preserve">Reusable worksheet measuring current onboarding time, rework and handoffs; script from Sales Strategy stage 1.</t>
  </si>
  <si>
    <t xml:space="preserve">Draft script</t>
  </si>
  <si>
    <t xml:space="preserve">Use identical fields per interview</t>
  </si>
  <si>
    <t xml:space="preserve">F-004</t>
  </si>
  <si>
    <t xml:space="preserve">Create private repository and decision log; record ADR-01 to ADR-12</t>
  </si>
  <si>
    <t xml:space="preserve">DECISIONS.md, ASSUMPTIONS.md, SECURITY.md committed; each ADR accepted or changed with a reason.</t>
  </si>
  <si>
    <t xml:space="preserve">Create repository</t>
  </si>
  <si>
    <t xml:space="preserve">Review document section 5</t>
  </si>
  <si>
    <t xml:space="preserve">F-005</t>
  </si>
  <si>
    <t xml:space="preserve">Generate and validate the 100-case synthetic corpus</t>
  </si>
  <si>
    <t xml:space="preserve">Coding Plan Prompt 0.1. Watermarked, no valid ID numbers, 10 hostile files, deterministic seed, coverage report.</t>
  </si>
  <si>
    <t xml:space="preserve">Paste master context block then Prompt 0.1</t>
  </si>
  <si>
    <t xml:space="preserve">Never real documents</t>
  </si>
  <si>
    <t xml:space="preserve">F-006</t>
  </si>
  <si>
    <t xml:space="preserve">Agree routing matrix and document classes</t>
  </si>
  <si>
    <t xml:space="preserve">Nine POC scenarios plus classes identity, address, education, employment, bank, tax, photo, other.</t>
  </si>
  <si>
    <t xml:space="preserve">Review POC routing matrix</t>
  </si>
  <si>
    <t xml:space="preserve">Signed decision record</t>
  </si>
  <si>
    <t xml:space="preserve">F-007</t>
  </si>
  <si>
    <t xml:space="preserve">Pre-register benchmark thresholds</t>
  </si>
  <si>
    <t xml:space="preserve">Coding Plan Prompt 0.2. Thresholds committed BEFORE any benchmark run; CI blocks later edits.</t>
  </si>
  <si>
    <t xml:space="preserve">Fill preregistration.yaml</t>
  </si>
  <si>
    <t xml:space="preserve">Prevents moving the goalposts</t>
  </si>
  <si>
    <t xml:space="preserve">F-008</t>
  </si>
  <si>
    <t xml:space="preserve">Discovery gate decision</t>
  </si>
  <si>
    <t xml:space="preserve">At least 8 of 15 interviews name the same problem and 3 firms will pilot. If not, change ICP, offer or price before Phase 2.</t>
  </si>
  <si>
    <t xml:space="preserve">F-001,F-002</t>
  </si>
  <si>
    <t xml:space="preserve">Hold gate review</t>
  </si>
  <si>
    <t xml:space="preserve">Milestone: Discovery gate</t>
  </si>
  <si>
    <t xml:space="preserve">F-009</t>
  </si>
  <si>
    <t xml:space="preserve">Engage a freelance technical reviewer</t>
  </si>
  <si>
    <t xml:space="preserve">Reviewer agreed for Phases 2, 5, 6, 7 and 10 pull requests (a few hours per phase).</t>
  </si>
  <si>
    <t xml:space="preserve">Shortlist 2-3 reviewers</t>
  </si>
  <si>
    <t xml:space="preserve">Budget line needed</t>
  </si>
  <si>
    <t xml:space="preserve">F-010</t>
  </si>
  <si>
    <t xml:space="preserve">Check OCI status of Server #1</t>
  </si>
  <si>
    <t xml:space="preserve">Is instance-20260530-1135 running? Shape, account type (Always Free or Pay-As-You-Go), Oracle emails since June 2026.</t>
  </si>
  <si>
    <t xml:space="preserve">Open OCI console</t>
  </si>
  <si>
    <t xml:space="preserve">Review document finding F-01</t>
  </si>
  <si>
    <t xml:space="preserve">F-011</t>
  </si>
  <si>
    <t xml:space="preserve">Upgrade OCI to Pay-As-You-Go with budget alert</t>
  </si>
  <si>
    <t xml:space="preserve">Account upgraded; budget alert set (for example INR 6,000 per month).</t>
  </si>
  <si>
    <t xml:space="preserve">Upgrade account</t>
  </si>
  <si>
    <t xml:space="preserve">ADR-08</t>
  </si>
  <si>
    <t xml:space="preserve">F-012</t>
  </si>
  <si>
    <t xml:space="preserve">Right-size VM1 and create VM2</t>
  </si>
  <si>
    <t xml:space="preserve">VM1 2 OCPU / 12 GB; VM2 4 OCPU / 16 GB (Ampere A1, India South). Retry other availability domains if capacity is short.</t>
  </si>
  <si>
    <t xml:space="preserve">Resize VM1; create VM2</t>
  </si>
  <si>
    <t xml:space="preserve">ADR-01</t>
  </si>
  <si>
    <t xml:space="preserve">F-013</t>
  </si>
  <si>
    <t xml:space="preserve">Harden Server #1</t>
  </si>
  <si>
    <t xml:space="preserve">Key-only SSH, PasswordAuthentication no, PermitRootLogin no, replace NOPASSWD:ALL, no public port 22, automatic security updates.</t>
  </si>
  <si>
    <t xml:space="preserve">Add key, test second session, then disable passwords</t>
  </si>
  <si>
    <t xml:space="preserve">Do BEFORE any data. Runbook host-hardening.md</t>
  </si>
  <si>
    <t xml:space="preserve">F-014</t>
  </si>
  <si>
    <t xml:space="preserve">Configure VCN and network security groups</t>
  </si>
  <si>
    <t xml:space="preserve">VM2 private subnet, no public IP; VM1 no inbound rules; only VM1 to VM2 port 8080.</t>
  </si>
  <si>
    <t xml:space="preserve">Create NSGs</t>
  </si>
  <si>
    <t xml:space="preserve">ADR-03</t>
  </si>
  <si>
    <t xml:space="preserve">F-015</t>
  </si>
  <si>
    <t xml:space="preserve">Docker, Compose and resource limits on both VMs</t>
  </si>
  <si>
    <t xml:space="preserve">Docker running; log rotation; container memory and CPU limits.</t>
  </si>
  <si>
    <t xml:space="preserve">Install Docker</t>
  </si>
  <si>
    <t xml:space="preserve">Prompt 1.2 output</t>
  </si>
  <si>
    <t xml:space="preserve">F-016</t>
  </si>
  <si>
    <t xml:space="preserve">Cloudflare Tunnel, Access and WAF</t>
  </si>
  <si>
    <t xml:space="preserve">Tunnel to VM1 port 8000 (api.vishyxtechie.in); Access policy for admin routes; rate limits on the public form path.</t>
  </si>
  <si>
    <t xml:space="preserve">Point tunnel at port 8000</t>
  </si>
  <si>
    <t xml:space="preserve">Existing tunnel reused</t>
  </si>
  <si>
    <t xml:space="preserve">F-017</t>
  </si>
  <si>
    <t xml:space="preserve">Vercel Pro team and project</t>
  </si>
  <si>
    <t xml:space="preserve">Pro plan (commercial use), Preview and Production separated, no production secrets in Preview.</t>
  </si>
  <si>
    <t xml:space="preserve">Create team</t>
  </si>
  <si>
    <t xml:space="preserve">F-018</t>
  </si>
  <si>
    <t xml:space="preserve">Clerk development and production instances</t>
  </si>
  <si>
    <t xml:space="preserve">Sign-in configured, MFA for owners and admins, webhook endpoint with signing secret.</t>
  </si>
  <si>
    <t xml:space="preserve">Create instances</t>
  </si>
  <si>
    <t xml:space="preserve">Authentication only</t>
  </si>
  <si>
    <t xml:space="preserve">F-019</t>
  </si>
  <si>
    <t xml:space="preserve">R2 buckets and scoped tokens</t>
  </si>
  <si>
    <t xml:space="preserve">formiva-quarantine, formiva-docs, formiva-backups; no public access; least-privilege token per bucket; lifecycle rules.</t>
  </si>
  <si>
    <t xml:space="preserve">Create buckets</t>
  </si>
  <si>
    <t xml:space="preserve">Decision D-2 (data location) open</t>
  </si>
  <si>
    <t xml:space="preserve">F-020</t>
  </si>
  <si>
    <t xml:space="preserve">Resend sending domain verified</t>
  </si>
  <si>
    <t xml:space="preserve">SPF, DKIM and DMARC records in place; test email delivered.</t>
  </si>
  <si>
    <t xml:space="preserve">Add domain</t>
  </si>
  <si>
    <t xml:space="preserve">Free-tier limits: verify</t>
  </si>
  <si>
    <t xml:space="preserve">F-021</t>
  </si>
  <si>
    <t xml:space="preserve">GitHub protections and scanning</t>
  </si>
  <si>
    <t xml:space="preserve">Branch protection on main, required checks, secret scanning, Dependabot.</t>
  </si>
  <si>
    <t xml:space="preserve">Enable protections</t>
  </si>
  <si>
    <t xml:space="preserve">MFA on all accounts</t>
  </si>
  <si>
    <t xml:space="preserve">F-022</t>
  </si>
  <si>
    <t xml:space="preserve">Choose secrets approach and create inventory</t>
  </si>
  <si>
    <t xml:space="preserve">SOPS with age or OCI Vault (decision D-4); secret inventory sheet with owners and rotation dates.</t>
  </si>
  <si>
    <t xml:space="preserve">Decide D-4</t>
  </si>
  <si>
    <t xml:space="preserve">Master-key custody plan</t>
  </si>
  <si>
    <t xml:space="preserve">F-023</t>
  </si>
  <si>
    <t xml:space="preserve">Uptime and heartbeat monitoring</t>
  </si>
  <si>
    <t xml:space="preserve">Service pinging /healthz with alert email (decision D-3); one test alert received.</t>
  </si>
  <si>
    <t xml:space="preserve">Pick service</t>
  </si>
  <si>
    <t xml:space="preserve">Verify free-tier limits</t>
  </si>
  <si>
    <t xml:space="preserve">F-024</t>
  </si>
  <si>
    <t xml:space="preserve">Monorepo scaffold and config validation</t>
  </si>
  <si>
    <t xml:space="preserve">Coding Plan Prompt 1.1. make verify passes on a clean clone; config loader never echoes secrets.</t>
  </si>
  <si>
    <t xml:space="preserve">Run Prompt 1.1</t>
  </si>
  <si>
    <t xml:space="preserve">Master context block first</t>
  </si>
  <si>
    <t xml:space="preserve">F-025</t>
  </si>
  <si>
    <t xml:space="preserve">Compose files for VM1 and VM2</t>
  </si>
  <si>
    <t xml:space="preserve">Coding Plan Prompt 1.2. No database or AI port published on 0.0.0.0.</t>
  </si>
  <si>
    <t xml:space="preserve">Run Prompt 1.2</t>
  </si>
  <si>
    <t xml:space="preserve">arm64</t>
  </si>
  <si>
    <t xml:space="preserve">F-026</t>
  </si>
  <si>
    <t xml:space="preserve">Host hardening script</t>
  </si>
  <si>
    <t xml:space="preserve">Coding Plan Prompt 1.3. Idempotent, dry-run, refuses to lock out the operator.</t>
  </si>
  <si>
    <t xml:space="preserve">Run Prompt 1.3</t>
  </si>
  <si>
    <t xml:space="preserve">Use for VM2 too</t>
  </si>
  <si>
    <t xml:space="preserve">F-027</t>
  </si>
  <si>
    <t xml:space="preserve">CI pipeline</t>
  </si>
  <si>
    <t xml:space="preserve">Coding Plan Prompt 1.4. Lint, tests, DB tests, secret scan, audits, semgrep, Trivy; fake secret must fail the build.</t>
  </si>
  <si>
    <t xml:space="preserve">Run Prompt 1.4</t>
  </si>
  <si>
    <t xml:space="preserve">Stable required-check names</t>
  </si>
  <si>
    <t xml:space="preserve">F-028</t>
  </si>
  <si>
    <t xml:space="preserve">Phase 1 exit test and decision record</t>
  </si>
  <si>
    <t xml:space="preserve">External port scan shows only Cloudflare-fronted HTTPS; health checks pass; no third VM or extra provider.</t>
  </si>
  <si>
    <t xml:space="preserve">F-013,F-014,F-016,F-025</t>
  </si>
  <si>
    <t xml:space="preserve">Run scan from outside</t>
  </si>
  <si>
    <t xml:space="preserve">Appendix A record</t>
  </si>
  <si>
    <t xml:space="preserve">F-029</t>
  </si>
  <si>
    <t xml:space="preserve">Apply migrations and run the 81 SQL checks</t>
  </si>
  <si>
    <t xml:space="preserve">Delivered Formiva_DB_v2.1 applied locally and in CI; all checks pass.</t>
  </si>
  <si>
    <t xml:space="preserve">Copy migrations into packages/db</t>
  </si>
  <si>
    <t xml:space="preserve">Coding Plan Phase 2</t>
  </si>
  <si>
    <t xml:space="preserve">F-030</t>
  </si>
  <si>
    <t xml:space="preserve">Create runtime roles and apply migrations on VM1</t>
  </si>
  <si>
    <t xml:space="preserve">LOGIN roles inheriting the four group roles; app role has no BYPASSRLS.</t>
  </si>
  <si>
    <t xml:space="preserve">Create roles</t>
  </si>
  <si>
    <t xml:space="preserve">Passwords from the secret store</t>
  </si>
  <si>
    <t xml:space="preserve">F-031</t>
  </si>
  <si>
    <t xml:space="preserve">Database package: runner, withTenant, Drizzle types</t>
  </si>
  <si>
    <t xml:space="preserve">Coding Plan Prompt 2.1. Checksummed migrations; no raw SQL outside packages/db.</t>
  </si>
  <si>
    <t xml:space="preserve">Run Prompt 2.1</t>
  </si>
  <si>
    <t xml:space="preserve">Reviewer required</t>
  </si>
  <si>
    <t xml:space="preserve">F-032</t>
  </si>
  <si>
    <t xml:space="preserve">Auth plugin: Clerk JWT, workspace selector, permissions</t>
  </si>
  <si>
    <t xml:space="preserve">Coding Plan Prompt 2.2. Fails closed; header is only a selector.</t>
  </si>
  <si>
    <t xml:space="preserve">Run Prompt 2.2</t>
  </si>
  <si>
    <t xml:space="preserve">F-033</t>
  </si>
  <si>
    <t xml:space="preserve">Workspace bootstrap and members API</t>
  </si>
  <si>
    <t xml:space="preserve">Coding Plan Prompt 2.3. Last owner protected; every change audited; OpenAPI drift check.</t>
  </si>
  <si>
    <t xml:space="preserve">Run Prompt 2.3</t>
  </si>
  <si>
    <t xml:space="preserve">F-034</t>
  </si>
  <si>
    <t xml:space="preserve">Tenant isolation negative suite from OpenAPI</t>
  </si>
  <si>
    <t xml:space="preserve">Coding Plan Prompt 2.4. Every route tested with foreign IDs, no auth and low role; new routes covered automatically.</t>
  </si>
  <si>
    <t xml:space="preserve">Run Prompt 2.4</t>
  </si>
  <si>
    <t xml:space="preserve">Gate: tenant isolation</t>
  </si>
  <si>
    <t xml:space="preserve">F-035</t>
  </si>
  <si>
    <t xml:space="preserve">Technical review and Phase 2 gate</t>
  </si>
  <si>
    <t xml:space="preserve">Reviewer signs the Phase 2 pull requests and decision record.</t>
  </si>
  <si>
    <t xml:space="preserve">Send PR list</t>
  </si>
  <si>
    <t xml:space="preserve">Milestone: Tenant isolation gate</t>
  </si>
  <si>
    <t xml:space="preserve">F-036</t>
  </si>
  <si>
    <t xml:space="preserve">Form definition, publish flow and public renderer</t>
  </si>
  <si>
    <t xml:space="preserve">Coding Plan Prompt 3.1. Mobile first; axe accessibility clean; published versions immutable.</t>
  </si>
  <si>
    <t xml:space="preserve">Run Prompt 3.1</t>
  </si>
  <si>
    <t xml:space="preserve">No ID-number fields</t>
  </si>
  <si>
    <t xml:space="preserve">F-037</t>
  </si>
  <si>
    <t xml:space="preserve">Respondent tokens, rate limits and consent</t>
  </si>
  <si>
    <t xml:space="preserve">Coding Plan Prompt 3.2. Hash-only tokens; generic 404; consent before first value.</t>
  </si>
  <si>
    <t xml:space="preserve">Run Prompt 3.2</t>
  </si>
  <si>
    <t xml:space="preserve">F-038</t>
  </si>
  <si>
    <t xml:space="preserve">Upload request and presigned quarantine upload</t>
  </si>
  <si>
    <t xml:space="preserve">Coding Plan Prompt 3.3 (part 1). Size and type signed; 5-minute URL.</t>
  </si>
  <si>
    <t xml:space="preserve">Run Prompt 3.3</t>
  </si>
  <si>
    <t xml:space="preserve">F-039</t>
  </si>
  <si>
    <t xml:space="preserve">File-safety worker</t>
  </si>
  <si>
    <t xml:space="preserve">Coding Plan Prompt 3.3 (part 2). Sniff, ClamAV, PDF/image/archive limits, promote or quarantine, scan evidence.</t>
  </si>
  <si>
    <t xml:space="preserve">F-040</t>
  </si>
  <si>
    <t xml:space="preserve">Submission transaction and value encryption</t>
  </si>
  <si>
    <t xml:space="preserve">Coding Plan Prompt 3.4. Atomic; duplicate submit returns same case; ID numbers ciphertext only.</t>
  </si>
  <si>
    <t xml:space="preserve">Run Prompt 3.4</t>
  </si>
  <si>
    <t xml:space="preserve">F-041</t>
  </si>
  <si>
    <t xml:space="preserve">Hostile-file run and accessibility check</t>
  </si>
  <si>
    <t xml:space="preserve">Every hostile corpus file quarantined; valid file promoted; friendly respondent messages.</t>
  </si>
  <si>
    <t xml:space="preserve">F-039,F-040</t>
  </si>
  <si>
    <t xml:space="preserve">Run corpus</t>
  </si>
  <si>
    <t xml:space="preserve">Gate: intake and file safety</t>
  </si>
  <si>
    <t xml:space="preserve">F-042</t>
  </si>
  <si>
    <t xml:space="preserve">Technical review of the upload pipeline</t>
  </si>
  <si>
    <t xml:space="preserve">Reviewer signs Phase 3.</t>
  </si>
  <si>
    <t xml:space="preserve">F-043</t>
  </si>
  <si>
    <t xml:space="preserve">Review-task API and corrections</t>
  </si>
  <si>
    <t xml:space="preserve">Coding Plan Prompt 4.1. Optimistic lock, append-only corrections, superseding routing decision.</t>
  </si>
  <si>
    <t xml:space="preserve">Run Prompt 4.1</t>
  </si>
  <si>
    <t xml:space="preserve">F-044</t>
  </si>
  <si>
    <t xml:space="preserve">Approvals, delegation, timeline and SLA timers</t>
  </si>
  <si>
    <t xml:space="preserve">Coding Plan Prompt 4.2. Rejection needs a reason; incomplete approval returns 409.</t>
  </si>
  <si>
    <t xml:space="preserve">Run Prompt 4.2</t>
  </si>
  <si>
    <t xml:space="preserve">F-045</t>
  </si>
  <si>
    <t xml:space="preserve">Reviewer console</t>
  </si>
  <si>
    <t xml:space="preserve">Coding Plan Prompt 4.3. Masked values, audited reveal, evidence highlights.</t>
  </si>
  <si>
    <t xml:space="preserve">Run Prompt 4.3</t>
  </si>
  <si>
    <t xml:space="preserve">F-046</t>
  </si>
  <si>
    <t xml:space="preserve">Phase 4 exit test</t>
  </si>
  <si>
    <t xml:space="preserve">Reviewer resolves a low-confidence case; original AI result and evidence remain visible.</t>
  </si>
  <si>
    <t xml:space="preserve">Demonstrate</t>
  </si>
  <si>
    <t xml:space="preserve">Gate: review and approval</t>
  </si>
  <si>
    <t xml:space="preserve">F-047</t>
  </si>
  <si>
    <t xml:space="preserve">Worker loop, leases, reaper and scheduler</t>
  </si>
  <si>
    <t xml:space="preserve">Coding Plan Prompt 5.1. Kill -9 test passes; dead letters visible.</t>
  </si>
  <si>
    <t xml:space="preserve">Run Prompt 5.1</t>
  </si>
  <si>
    <t xml:space="preserve">F-048</t>
  </si>
  <si>
    <t xml:space="preserve">Workflow JSON schema and step runner</t>
  </si>
  <si>
    <t xml:space="preserve">Coding Plan Prompt 5.2. onboarding-v1 definition; published versions immutable.</t>
  </si>
  <si>
    <t xml:space="preserve">Run Prompt 5.2</t>
  </si>
  <si>
    <t xml:space="preserve">ADR-05</t>
  </si>
  <si>
    <t xml:space="preserve">F-049</t>
  </si>
  <si>
    <t xml:space="preserve">Integration executor, Resend adapter and webhook</t>
  </si>
  <si>
    <t xml:space="preserve">Coding Plan Prompt 5.3. Success/transient/permanent/unknown; delivery status never proves the business action.</t>
  </si>
  <si>
    <t xml:space="preserve">Run Prompt 5.3</t>
  </si>
  <si>
    <t xml:space="preserve">F-050</t>
  </si>
  <si>
    <t xml:space="preserve">Chaos and duplicate-delivery tests</t>
  </si>
  <si>
    <t xml:space="preserve">Coding Plan Prompt 5.4. Zero silent loss and zero duplicate effects on 3 consecutive runs.</t>
  </si>
  <si>
    <t xml:space="preserve">Run Prompt 5.4</t>
  </si>
  <si>
    <t xml:space="preserve">F-051</t>
  </si>
  <si>
    <t xml:space="preserve">Technical review and reliability gate</t>
  </si>
  <si>
    <t xml:space="preserve">Reviewer signs Phase 5.</t>
  </si>
  <si>
    <t xml:space="preserve">Milestone: Reliability gate</t>
  </si>
  <si>
    <t xml:space="preserve">F-052</t>
  </si>
  <si>
    <t xml:space="preserve">AI Engine skeleton, contract v1.1 and signed requests</t>
  </si>
  <si>
    <t xml:space="preserve">Coding Plan Prompt 6.1. Bytes-in design (ADR-12); no cloud credentials.</t>
  </si>
  <si>
    <t xml:space="preserve">Run Prompt 6.1</t>
  </si>
  <si>
    <t xml:space="preserve">F-053</t>
  </si>
  <si>
    <t xml:space="preserve">OCR and language detection</t>
  </si>
  <si>
    <t xml:space="preserve">Coding Plan Prompt 6.2. Text layer first; Tesseract English, Hindi, Tamil.</t>
  </si>
  <si>
    <t xml:space="preserve">Run Prompt 6.2</t>
  </si>
  <si>
    <t xml:space="preserve">F-054</t>
  </si>
  <si>
    <t xml:space="preserve">Classification, extraction, grounding and scrubbing</t>
  </si>
  <si>
    <t xml:space="preserve">Coding Plan Prompt 6.3. Injection-safe, no full ID numbers in output.</t>
  </si>
  <si>
    <t xml:space="preserve">Run Prompt 6.3</t>
  </si>
  <si>
    <t xml:space="preserve">F-055</t>
  </si>
  <si>
    <t xml:space="preserve">Confidence components and calibration</t>
  </si>
  <si>
    <t xml:space="preserve">Coding Plan Prompt 6.4. Overall = minimum; uncalibrated classes route to review.</t>
  </si>
  <si>
    <t xml:space="preserve">Run Prompt 6.4</t>
  </si>
  <si>
    <t xml:space="preserve">F-056</t>
  </si>
  <si>
    <t xml:space="preserve">Benchmark harness and model registry</t>
  </si>
  <si>
    <t xml:space="preserve">Coding Plan Prompt 6.5. Refuses to run without pre-registration.</t>
  </si>
  <si>
    <t xml:space="preserve">Run Prompt 6.5</t>
  </si>
  <si>
    <t xml:space="preserve">F-057</t>
  </si>
  <si>
    <t xml:space="preserve">Select model, record licence, run benchmark</t>
  </si>
  <si>
    <t xml:space="preserve">Smallest passing model; licence checked; mixed-load run; ai_benchmark_runs row.</t>
  </si>
  <si>
    <t xml:space="preserve">Register candidate</t>
  </si>
  <si>
    <t xml:space="preserve">Decision D-1; Diwali 8 Nov</t>
  </si>
  <si>
    <t xml:space="preserve">F-058</t>
  </si>
  <si>
    <t xml:space="preserve">AI benchmark gate decision</t>
  </si>
  <si>
    <t xml:space="preserve">PASS/FAIL against pre-registered thresholds; if fail, follow POC decision matrix.</t>
  </si>
  <si>
    <t xml:space="preserve">Review report</t>
  </si>
  <si>
    <t xml:space="preserve">Milestone: AI benchmark gate</t>
  </si>
  <si>
    <t xml:space="preserve">F-059</t>
  </si>
  <si>
    <t xml:space="preserve">Routing decision function and tests</t>
  </si>
  <si>
    <t xml:space="preserve">Coding Plan Prompt 7.1. Pure function, reason codes, property tests, 100% branch coverage.</t>
  </si>
  <si>
    <t xml:space="preserve">Run Prompt 7.1</t>
  </si>
  <si>
    <t xml:space="preserve">F-060</t>
  </si>
  <si>
    <t xml:space="preserve">AI result transaction and review creation</t>
  </si>
  <si>
    <t xml:space="preserve">Coding Plan Prompt 7.2. One transaction; retries never create duplicates.</t>
  </si>
  <si>
    <t xml:space="preserve">Run Prompt 7.2</t>
  </si>
  <si>
    <t xml:space="preserve">F-061</t>
  </si>
  <si>
    <t xml:space="preserve">Post-approval pipeline</t>
  </si>
  <si>
    <t xml:space="preserve">Coding Plan Prompt 7.3. Notify, confirm, audit; reconciliation of stuck cases.</t>
  </si>
  <si>
    <t xml:space="preserve">Run Prompt 7.3</t>
  </si>
  <si>
    <t xml:space="preserve">F-062</t>
  </si>
  <si>
    <t xml:space="preserve">End-to-end demonstration and evidence pack</t>
  </si>
  <si>
    <t xml:space="preserve">Coding Plan Prompt 7.4. 100-case corpus, zero silent loss.</t>
  </si>
  <si>
    <t xml:space="preserve">Run Prompt 7.4</t>
  </si>
  <si>
    <t xml:space="preserve">F-063</t>
  </si>
  <si>
    <t xml:space="preserve">Backup and isolated restore proof</t>
  </si>
  <si>
    <t xml:space="preserve">Encrypted backup restored into isolation; SQL suites and tenant tests pass.</t>
  </si>
  <si>
    <t xml:space="preserve">Run backup script</t>
  </si>
  <si>
    <t xml:space="preserve">POC exit requirement</t>
  </si>
  <si>
    <t xml:space="preserve">F-064</t>
  </si>
  <si>
    <t xml:space="preserve">POC decision record</t>
  </si>
  <si>
    <t xml:space="preserve">Proceed / change approach / not sensitive-pilot ready. Slip buffer weeks 9-10 available.</t>
  </si>
  <si>
    <t xml:space="preserve">F-062,F-063</t>
  </si>
  <si>
    <t xml:space="preserve">Fill sign-off sheet</t>
  </si>
  <si>
    <t xml:space="preserve">Milestone: POC decision</t>
  </si>
  <si>
    <t xml:space="preserve">F-065</t>
  </si>
  <si>
    <t xml:space="preserve">Backups and restore drill automation</t>
  </si>
  <si>
    <t xml:space="preserve">Coding Plan Prompt 10.1. Corrupted backup fails the drill; backup-age alert.</t>
  </si>
  <si>
    <t xml:space="preserve">Run Prompt 10.1</t>
  </si>
  <si>
    <t xml:space="preserve">F-066</t>
  </si>
  <si>
    <t xml:space="preserve">Secret rotation and access review</t>
  </si>
  <si>
    <t xml:space="preserve">Coding Plan Prompt 10.2. Dry-run rotation of the VM1-VM2 HMAC key succeeds.</t>
  </si>
  <si>
    <t xml:space="preserve">Run Prompt 10.2</t>
  </si>
  <si>
    <t xml:space="preserve">F-067</t>
  </si>
  <si>
    <t xml:space="preserve">Alerts and status page</t>
  </si>
  <si>
    <t xml:space="preserve">Coding Plan Prompt 10.3. Every alert fired once and received.</t>
  </si>
  <si>
    <t xml:space="preserve">Run Prompt 10.3</t>
  </si>
  <si>
    <t xml:space="preserve">Thresholds from decision record</t>
  </si>
  <si>
    <t xml:space="preserve">F-068</t>
  </si>
  <si>
    <t xml:space="preserve">Retention, deletion and legal hold</t>
  </si>
  <si>
    <t xml:space="preserve">Coding Plan Prompt 10.4. Proof of deletion; audit chain still verifies.</t>
  </si>
  <si>
    <t xml:space="preserve">Run Prompt 10.4</t>
  </si>
  <si>
    <t xml:space="preserve">Retention periods: decision D-6</t>
  </si>
  <si>
    <t xml:space="preserve">F-069</t>
  </si>
  <si>
    <t xml:space="preserve">Security test pack, ZAP and ASVS mapping</t>
  </si>
  <si>
    <t xml:space="preserve">Coding Plan Prompt 10.5. High-severity findings block release.</t>
  </si>
  <si>
    <t xml:space="preserve">Run Prompt 10.5</t>
  </si>
  <si>
    <t xml:space="preserve">F-070</t>
  </si>
  <si>
    <t xml:space="preserve">Independent penetration test</t>
  </si>
  <si>
    <t xml:space="preserve">Recommended before real employee data (decision D-7); scope: API, web, upload path, tenant isolation.</t>
  </si>
  <si>
    <t xml:space="preserve">Get quotes</t>
  </si>
  <si>
    <t xml:space="preserve">Findings feed the gate</t>
  </si>
  <si>
    <t xml:space="preserve">F-071</t>
  </si>
  <si>
    <t xml:space="preserve">Incident response drill</t>
  </si>
  <si>
    <t xml:space="preserve">Severity-1 rehearsal from the SOP: contain, preserve evidence, 72-hour notice process.</t>
  </si>
  <si>
    <t xml:space="preserve">Schedule drill</t>
  </si>
  <si>
    <t xml:space="preserve">F-072</t>
  </si>
  <si>
    <t xml:space="preserve">Engage counsel</t>
  </si>
  <si>
    <t xml:space="preserve">Processor terms, respondent notice and consent, retention, breach process, R2 location (decisions D-2, D-5, D-6).</t>
  </si>
  <si>
    <t xml:space="preserve">Shortlist Indian data-protection counsel</t>
  </si>
  <si>
    <t xml:space="preserve">DPDP obligations from about 13 May 2027</t>
  </si>
  <si>
    <t xml:space="preserve">F-073</t>
  </si>
  <si>
    <t xml:space="preserve">Sensitive-pilot gate review and release v0.1.0</t>
  </si>
  <si>
    <t xml:space="preserve">All gate controls evidenced; counsel items answered; otherwise stay on synthetic or redacted data.</t>
  </si>
  <si>
    <t xml:space="preserve">F-065,F-066,F-067,F-068,F-069,F-071</t>
  </si>
  <si>
    <t xml:space="preserve">Hold gate meeting</t>
  </si>
  <si>
    <t xml:space="preserve">Milestone: Sensitive-pilot gate</t>
  </si>
  <si>
    <t xml:space="preserve">F-074</t>
  </si>
  <si>
    <t xml:space="preserve">Pilot agreements and data terms</t>
  </si>
  <si>
    <t xml:space="preserve">Written pilot scope, success measures, data terms; three firms.</t>
  </si>
  <si>
    <t xml:space="preserve">Draft pilot one-pager</t>
  </si>
  <si>
    <t xml:space="preserve">Sales Strategy stage 3</t>
  </si>
  <si>
    <t xml:space="preserve">F-075</t>
  </si>
  <si>
    <t xml:space="preserve">Pilot 1 configured and running</t>
  </si>
  <si>
    <t xml:space="preserve">Synthetic or redacted data until the gate allows real data; baseline measured before start.</t>
  </si>
  <si>
    <t xml:space="preserve">Configure workspace</t>
  </si>
  <si>
    <t xml:space="preserve">F-076</t>
  </si>
  <si>
    <t xml:space="preserve">Pilot 2 configured and running</t>
  </si>
  <si>
    <t xml:space="preserve">As pilot 1.</t>
  </si>
  <si>
    <t xml:space="preserve">F-077</t>
  </si>
  <si>
    <t xml:space="preserve">Pilot 3 configured and running</t>
  </si>
  <si>
    <t xml:space="preserve">F-078</t>
  </si>
  <si>
    <t xml:space="preserve">Convert pilots to paid and measure margin</t>
  </si>
  <si>
    <t xml:space="preserve">Three paying logos and measured contribution margin.</t>
  </si>
  <si>
    <t xml:space="preserve">F-075,F-076,F-077</t>
  </si>
  <si>
    <t xml:space="preserve">Send conversion proposals</t>
  </si>
  <si>
    <t xml:space="preserve">Milestone: Paid repeatability gate</t>
  </si>
  <si>
    <t xml:space="preserve">F-079</t>
  </si>
  <si>
    <t xml:space="preserve">Counsel review of the trust evidence pack</t>
  </si>
  <si>
    <t xml:space="preserve">Evidence pack v1 reviewed; open items tracked.</t>
  </si>
  <si>
    <t xml:space="preserve">Send pack</t>
  </si>
  <si>
    <t xml:space="preserve">Milestone: Counsel review</t>
  </si>
  <si>
    <t xml:space="preserve">F-080</t>
  </si>
  <si>
    <t xml:space="preserve">Manual invoicing process and Razorpay decision</t>
  </si>
  <si>
    <t xml:space="preserve">Manual billing for first pilots; decide when Razorpay adds enough value.</t>
  </si>
  <si>
    <t xml:space="preserve">Set up invoice template</t>
  </si>
  <si>
    <t xml:space="preserve">Phase 9 dependency</t>
  </si>
  <si>
    <t xml:space="preserve">F-081</t>
  </si>
  <si>
    <t xml:space="preserve">Signed outbound webhook adapter</t>
  </si>
  <si>
    <t xml:space="preserve">Coding Plan Prompt 9.1. SSRF-safe; signature and replay window.</t>
  </si>
  <si>
    <t xml:space="preserve">Start only when a pilot asks</t>
  </si>
  <si>
    <t xml:space="preserve">F-082</t>
  </si>
  <si>
    <t xml:space="preserve">Google Sheets adapter</t>
  </si>
  <si>
    <t xml:space="preserve">Coding Plan Prompt 9.2. Upsert by business key; reconciliation.</t>
  </si>
  <si>
    <t xml:space="preserve">F-083</t>
  </si>
  <si>
    <t xml:space="preserve">Razorpay billing events</t>
  </si>
  <si>
    <t xml:space="preserve">Coding Plan Prompt 9.3. Signature verified; event dedupe; reconciliation.</t>
  </si>
  <si>
    <t xml:space="preserve">Start when first pilot converts</t>
  </si>
  <si>
    <t xml:space="preserve">F-084</t>
  </si>
  <si>
    <t xml:space="preserve">1,000-event reliability test</t>
  </si>
  <si>
    <t xml:space="preserve">Coding Plan Prompt 9.4. No duplicate effects; unknown outcomes never replayed blindly.</t>
  </si>
  <si>
    <t xml:space="preserve">F-081,F-082,F-083</t>
  </si>
  <si>
    <t xml:space="preserve">After adapters exist</t>
  </si>
  <si>
    <t xml:space="preserve">F-085</t>
  </si>
  <si>
    <t xml:space="preserve">Workflow linter and dry-run engine</t>
  </si>
  <si>
    <t xml:space="preserve">Coding Plan Prompts 8.1 and 8.2. Dry-run never creates an executable interaction.</t>
  </si>
  <si>
    <t xml:space="preserve">Start after 3 paid pilots</t>
  </si>
  <si>
    <t xml:space="preserve">Gated by ADR-05</t>
  </si>
  <si>
    <t xml:space="preserve">F-086</t>
  </si>
  <si>
    <t xml:space="preserve">Publish and rollback API and visual editor</t>
  </si>
  <si>
    <t xml:space="preserve">Coding Plan Prompts 8.3 and 8.4. Rollback moves the active pointer; audited.</t>
  </si>
  <si>
    <t xml:space="preserve">Start after linter</t>
  </si>
  <si>
    <t xml:space="preserve">F-087</t>
  </si>
  <si>
    <t xml:space="preserve">Analytics views and pilot report generator</t>
  </si>
  <si>
    <t xml:space="preserve">Coding Plan Prompts 11.1 and 11.2.</t>
  </si>
  <si>
    <t xml:space="preserve">Run Prompts 11.1-11.2</t>
  </si>
  <si>
    <t xml:space="preserve">F-088</t>
  </si>
  <si>
    <t xml:space="preserve">Measure activation and second-workflow demand</t>
  </si>
  <si>
    <t xml:space="preserve">At least 60% of pilot customers request or activate a second workflow in writing.</t>
  </si>
  <si>
    <t xml:space="preserve">Ask each customer</t>
  </si>
  <si>
    <t xml:space="preserve">Expansion gate</t>
  </si>
  <si>
    <t xml:space="preserve">F-089</t>
  </si>
  <si>
    <t xml:space="preserve">Decide first expansion pack</t>
  </si>
  <si>
    <t xml:space="preserve">Leave, expense, IT, education, MSP or manufacturing based on evidence and 70% primitive-reuse gate.</t>
  </si>
  <si>
    <t xml:space="preserve">Prepare decision memo</t>
  </si>
  <si>
    <t xml:space="preserve">Milestone: Expansion decision</t>
  </si>
  <si>
    <t xml:space="preserve">F-090</t>
  </si>
  <si>
    <t xml:space="preserve">DPDP commencement check</t>
  </si>
  <si>
    <t xml:space="preserve">Confirm with counsel which obligations apply from about 13 May 2027 and that controls are in place.</t>
  </si>
  <si>
    <t xml:space="preserve">Book counsel session</t>
  </si>
  <si>
    <t xml:space="preserve">Legal watch date</t>
  </si>
  <si>
    <t xml:space="preserve">Date</t>
  </si>
  <si>
    <t xml:space="preserve">Day</t>
  </si>
  <si>
    <t xml:space="preserve">Overall Status</t>
  </si>
  <si>
    <t xml:space="preserve">% Project Complete</t>
  </si>
  <si>
    <t xml:space="preserve">Today’s Focus</t>
  </si>
  <si>
    <t xml:space="preserve">Completed Today</t>
  </si>
  <si>
    <t xml:space="preserve">Blockers / Risks</t>
  </si>
  <si>
    <t xml:space="preserve">Decision Needed</t>
  </si>
  <si>
    <t xml:space="preserve">Tomorrow’s Plan</t>
  </si>
  <si>
    <t xml:space="preserve">Evidence / Link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</si>
  <si>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</si>
  <si>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</si>
  <si>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</si>
  <si>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</si>
  <si>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</si>
  <si>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</si>
  <si>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</si>
  <si>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Milestone</t>
  </si>
  <si>
    <t xml:space="preserve">Target Date</t>
  </si>
  <si>
    <t xml:space="preserve">Success Measure</t>
  </si>
  <si>
    <t xml:space="preserve">8 of 15 interviews name the same problem; 3 firms committed to pilot</t>
  </si>
  <si>
    <t xml:space="preserve">Tasks F-001, F-002, F-008</t>
  </si>
  <si>
    <t xml:space="preserve">Tenant isolation gate</t>
  </si>
  <si>
    <t xml:space="preserve">Delivered 81 SQL checks and the API cross-tenant suite pass; reviewer sign-off</t>
  </si>
  <si>
    <t xml:space="preserve">Tasks F-029 to F-035</t>
  </si>
  <si>
    <t xml:space="preserve">Intake and file-safety gate</t>
  </si>
  <si>
    <t xml:space="preserve">Every hostile file quarantined; atomic submission; ID numbers ciphertext only</t>
  </si>
  <si>
    <t xml:space="preserve">Tasks F-036 to F-042</t>
  </si>
  <si>
    <t xml:space="preserve">Review and approval gate</t>
  </si>
  <si>
    <t xml:space="preserve">Reviewer resolves an exception; original AI result preserved; approval guard proven</t>
  </si>
  <si>
    <t xml:space="preserve">Tasks F-043 to F-046</t>
  </si>
  <si>
    <t xml:space="preserve">Reliability gate</t>
  </si>
  <si>
    <t xml:space="preserve">Zero silent loss and zero duplicate effects on 3 chaos runs</t>
  </si>
  <si>
    <t xml:space="preserve">Tasks F-047 to F-051</t>
  </si>
  <si>
    <t xml:space="preserve">AI benchmark gate</t>
  </si>
  <si>
    <t xml:space="preserve">p50, p95, peak memory, queue age, accuracy, calibration recorded against pre-registered thresholds</t>
  </si>
  <si>
    <t xml:space="preserve">Tasks F-052 to F-058</t>
  </si>
  <si>
    <t xml:space="preserve">POC decision</t>
  </si>
  <si>
    <t xml:space="preserve">Proceed / change approach / not sensitive-pilot ready, with evidence pack and restore proof</t>
  </si>
  <si>
    <t xml:space="preserve">Tasks F-059 to F-064</t>
  </si>
  <si>
    <t xml:space="preserve">Sensitive-pilot gate</t>
  </si>
  <si>
    <t xml:space="preserve">Tenant isolation, encrypted restore, rotation, alerts, retention, incident drill all evidenced</t>
  </si>
  <si>
    <t xml:space="preserve">Tasks F-065 to F-073</t>
  </si>
  <si>
    <t xml:space="preserve">Counsel review</t>
  </si>
  <si>
    <t xml:space="preserve">Processor terms, notice and consent, retention, breach process reviewed</t>
  </si>
  <si>
    <t xml:space="preserve">Tasks F-072, F-079</t>
  </si>
  <si>
    <t xml:space="preserve">Paid repeatability gate</t>
  </si>
  <si>
    <t xml:space="preserve">3 paying logos and measured contribution margin</t>
  </si>
  <si>
    <t xml:space="preserve">Tasks F-074 to F-078</t>
  </si>
  <si>
    <t xml:space="preserve">DPDP commencement (watch date)</t>
  </si>
  <si>
    <t xml:space="preserve">Data Fiduciary obligations expected to commence; controls confirmed with counsel</t>
  </si>
  <si>
    <t xml:space="preserve">Task F-090</t>
  </si>
  <si>
    <t xml:space="preserve">Expansion decision</t>
  </si>
  <si>
    <t xml:space="preserve">Evidence-backed decision on next pack; 60% second-workflow demand and 70% reuse gates</t>
  </si>
  <si>
    <t xml:space="preserve">Tasks F-087 to F-089</t>
  </si>
  <si>
    <t xml:space="preserve">Type</t>
  </si>
  <si>
    <t xml:space="preserve">Risk / Decision</t>
  </si>
  <si>
    <t xml:space="preserve">Impact</t>
  </si>
  <si>
    <t xml:space="preserve">Probability</t>
  </si>
  <si>
    <t xml:space="preserve">Mitigation / Next Step</t>
  </si>
  <si>
    <t xml:space="preserve">Review Date</t>
  </si>
  <si>
    <t xml:space="preserve">R-001</t>
  </si>
  <si>
    <t xml:space="preserve">Risk</t>
  </si>
  <si>
    <t xml:space="preserve">Oracle Always Free A1 allowance cut to 2 OCPU / 12 GB in total; Server #1 (4 OCPU / 24 GB) may be stopped or terminated; unpaid instances can be reclaimed</t>
  </si>
  <si>
    <t xml:space="preserve">Check console now; upgrade to Pay-As-You-Go; budget alert; treat VMs as disposable and backups as the asset.</t>
  </si>
  <si>
    <t xml:space="preserve">Open</t>
  </si>
  <si>
    <t xml:space="preserve">R-002</t>
  </si>
  <si>
    <t xml:space="preserve">CPU-only AI on VM2 too slow or inaccurate for onboarding documents</t>
  </si>
  <si>
    <t xml:space="preserve">Pre-registered benchmark; smallest passing model; bound concurrency; route to human review by default; no third VM.</t>
  </si>
  <si>
    <t xml:space="preserve">R-003</t>
  </si>
  <si>
    <t xml:space="preserve">AI classification or extraction error on sensitive documents</t>
  </si>
  <si>
    <t xml:space="preserve">Evidence-first output, grounding check, per-class calibration, human review, no autonomous sensitive actions, database approval guard.</t>
  </si>
  <si>
    <t xml:space="preserve">R-004</t>
  </si>
  <si>
    <t xml:space="preserve">Too many industries dilute product and sales focus</t>
  </si>
  <si>
    <t xml:space="preserve">Employee onboarding is the only launch wedge; paid-pilot and 70% reuse gates before any expansion.</t>
  </si>
  <si>
    <t xml:space="preserve">R-005</t>
  </si>
  <si>
    <t xml:space="preserve">Founder capacity is smaller than 12 phases of scope</t>
  </si>
  <si>
    <t xml:space="preserve">Build order 0-7, 10, pilots; phases 8 and 9 gated (ADR-05); slip rules cut SLA timers, delegation and analytics first; hire a technical reviewer.</t>
  </si>
  <si>
    <t xml:space="preserve">R-006</t>
  </si>
  <si>
    <t xml:space="preserve">AI-generated code contains subtle security defects</t>
  </si>
  <si>
    <t xml:space="preserve">CI gates, review checklist, generated IDOR suite, database as last line of defence, reviewer on phases 2, 3, 5, 6, 7, 10.</t>
  </si>
  <si>
    <t xml:space="preserve">R-007</t>
  </si>
  <si>
    <t xml:space="preserve">Server #1 compromised through SSH password login and NOPASSWD:ALL sudo user</t>
  </si>
  <si>
    <t xml:space="preserve">Task F-013: key-only SSH, no root login, least-privilege sudo, no public port 22, fail2ban, MFA on cloud accounts.</t>
  </si>
  <si>
    <t xml:space="preserve">R-008</t>
  </si>
  <si>
    <t xml:space="preserve">DPDP Data Fiduciary obligations expected from about 13 May 2027 while pilots run</t>
  </si>
  <si>
    <t xml:space="preserve">Consent and deletion built into schema; counsel engaged by February 2027; 72-hour breach process; processor terms.</t>
  </si>
  <si>
    <t xml:space="preserve">R-009</t>
  </si>
  <si>
    <t xml:space="preserve">Data-residency claim not supported: servers in India but R2 has no India-only location</t>
  </si>
  <si>
    <t xml:space="preserve">Do not claim India-only residency; decide document store (decision D-2) before first pilot.</t>
  </si>
  <si>
    <t xml:space="preserve">R-010</t>
  </si>
  <si>
    <t xml:space="preserve">Data loss because backups fail silently or restore has never been tested</t>
  </si>
  <si>
    <t xml:space="preserve">Nightly and 6-hourly encrypted backups, off-VM copy, backup-age alert, monthly restore drill as release gate.</t>
  </si>
  <si>
    <t xml:space="preserve">R-011</t>
  </si>
  <si>
    <t xml:space="preserve">Chosen model licence does not permit commercial use (licences differ by size within a family)</t>
  </si>
  <si>
    <t xml:space="preserve">Check and record licence in the registry before benchmarking; alternatives ready.</t>
  </si>
  <si>
    <t xml:space="preserve">R-012</t>
  </si>
  <si>
    <t xml:space="preserve">Provider terms or free-tier limits change (Vercel Hobby non-commercial, Clerk, Resend, R2, OCI)</t>
  </si>
  <si>
    <t xml:space="preserve">Vercel Pro; verify each provider at deployment and quarterly; cost model reviewed monthly.</t>
  </si>
  <si>
    <t xml:space="preserve">R-013</t>
  </si>
  <si>
    <t xml:space="preserve">Blended revenue per account of 3,200 is optimistic against the price ladder</t>
  </si>
  <si>
    <t xml:space="preserve">Plan on 2,000 per account until pricing interviews say otherwise; implementation fees separate.</t>
  </si>
  <si>
    <t xml:space="preserve">R-014</t>
  </si>
  <si>
    <t xml:space="preserve">Pilot customers refuse to upload real employee documents or sales cycles are long</t>
  </si>
  <si>
    <t xml:space="preserve">Synthetic or redacted pilots first; trust evidence pack; sensitive-pilot gate; partners as second channel.</t>
  </si>
  <si>
    <t xml:space="preserve">D-001</t>
  </si>
  <si>
    <t xml:space="preserve">Decision</t>
  </si>
  <si>
    <t xml:space="preserve">ADR-01: VM1 = API, workers, PostgreSQL, ClamAV; VM2 = AI Engine only; no third VM</t>
  </si>
  <si>
    <t xml:space="preserve">Reverse by moving PostgreSQL back to VM2 (schema unchanged).</t>
  </si>
  <si>
    <t xml:space="preserve">Decided</t>
  </si>
  <si>
    <t xml:space="preserve">D-002</t>
  </si>
  <si>
    <t xml:space="preserve">ADR-02: REST with OpenAPI 3.1 (no tRPC)</t>
  </si>
  <si>
    <t xml:space="preserve">Contract generated from Zod schemas.</t>
  </si>
  <si>
    <t xml:space="preserve">D-003</t>
  </si>
  <si>
    <t xml:space="preserve">ADR-03: VM1 to VM2 over private VCN with signed requests; Tunnel only for public ingress</t>
  </si>
  <si>
    <t xml:space="preserve">Use Tunnel plus Access service tokens if VMs are in different regions.</t>
  </si>
  <si>
    <t xml:space="preserve">D-004</t>
  </si>
  <si>
    <t xml:space="preserve">ADR-04: PostgreSQL job dispatch (SKIP LOCKED); Valkey optional</t>
  </si>
  <si>
    <t xml:space="preserve">Add Valkey later for wake-up and rate limits only.</t>
  </si>
  <si>
    <t xml:space="preserve">D-005</t>
  </si>
  <si>
    <t xml:space="preserve">ADR-05: workflows as versioned JSON; visual editor and extra adapters gated behind three paid pilots</t>
  </si>
  <si>
    <t xml:space="preserve">Start Phase 8 earlier only if a pilot requires it.</t>
  </si>
  <si>
    <t xml:space="preserve">D-006</t>
  </si>
  <si>
    <t xml:space="preserve">ADR-06: one category sentence; retire "Universal Form-to-Workflow Platform" wording</t>
  </si>
  <si>
    <t xml:space="preserve">Keep universal as an internal architecture idea only.</t>
  </si>
  <si>
    <t xml:space="preserve">D-007</t>
  </si>
  <si>
    <t xml:space="preserve">ADR-07: PRD phase numbers 0-11; build order 0-7, 10, pilots, 9, 8, 11</t>
  </si>
  <si>
    <t xml:space="preserve">Dashboard rebuilt to match.</t>
  </si>
  <si>
    <t xml:space="preserve">D-008</t>
  </si>
  <si>
    <t xml:space="preserve">ADR-08: OCI Pay-As-You-Go; Vercel Pro from the first customer</t>
  </si>
  <si>
    <t xml:space="preserve">Budget about US$70-80 per month fixed.</t>
  </si>
  <si>
    <t xml:space="preserve">D-009</t>
  </si>
  <si>
    <t xml:space="preserve">ADR-09: customer document content processed only by the self-hosted AI Engine</t>
  </si>
  <si>
    <t xml:space="preserve">Managed AI only by explicit workspace opt-in under a signed data-processing agreement.</t>
  </si>
  <si>
    <t xml:space="preserve">D-010</t>
  </si>
  <si>
    <t xml:space="preserve">ADR-10: SQL-first migrations with Drizzle for typed queries</t>
  </si>
  <si>
    <t xml:space="preserve">Delivered schema package is the source of truth.</t>
  </si>
  <si>
    <t xml:space="preserve">D-011</t>
  </si>
  <si>
    <t xml:space="preserve">ADR-11: envelope encryption for highly sensitive values</t>
  </si>
  <si>
    <t xml:space="preserve">Master key outside the database (decision D-016).</t>
  </si>
  <si>
    <t xml:space="preserve">D-012</t>
  </si>
  <si>
    <t xml:space="preserve">ADR-12: AI Engine holds no cloud credentials; worker sends verified bytes</t>
  </si>
  <si>
    <t xml:space="preserve">Reverse only with a read-only bucket token (not recommended).</t>
  </si>
  <si>
    <t xml:space="preserve">D-013</t>
  </si>
  <si>
    <t xml:space="preserve">Open: AI model and size (technical decision D-1)</t>
  </si>
  <si>
    <t xml:space="preserve">Benchmark candidates; smallest that passes; record licence.</t>
  </si>
  <si>
    <t xml:space="preserve">D-014</t>
  </si>
  <si>
    <t xml:space="preserve">Open: document store location (technical decision D-2)</t>
  </si>
  <si>
    <t xml:space="preserve">Keep R2 without an India claim, or OCI Object Storage in the same region.</t>
  </si>
  <si>
    <t xml:space="preserve">D-015</t>
  </si>
  <si>
    <t xml:space="preserve">Open: monitoring and alerting service (technical decision D-3)</t>
  </si>
  <si>
    <t xml:space="preserve">Free uptime and heartbeat service plus email; verify limits.</t>
  </si>
  <si>
    <t xml:space="preserve">D-016</t>
  </si>
  <si>
    <t xml:space="preserve">Open: secrets and master-key custody (technical decision D-4)</t>
  </si>
  <si>
    <t xml:space="preserve">OCI Vault or SOPS with age.</t>
  </si>
  <si>
    <t xml:space="preserve">D-017</t>
  </si>
  <si>
    <t xml:space="preserve">Open: counsel engagement (technical decision D-5)</t>
  </si>
  <si>
    <t xml:space="preserve">Indian data-protection lawyer by February 2027.</t>
  </si>
  <si>
    <t xml:space="preserve">D-018</t>
  </si>
  <si>
    <t xml:space="preserve">Open: retention periods, backup retention, deletion SLAs (technical decision D-6)</t>
  </si>
  <si>
    <t xml:space="preserve">Counsel and customer input.</t>
  </si>
  <si>
    <t xml:space="preserve">D-019</t>
  </si>
  <si>
    <t xml:space="preserve">Open: independent penetration test (technical decision D-7)</t>
  </si>
  <si>
    <t xml:space="preserve">Budget and provider.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</si>
</sst>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%"/>
    <numFmt numFmtId="167" formatCode="0%"/>
    <numFmt numFmtId="168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17365D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4F81BD"/>
      </patternFill>
    </fill>
    <fill>
      <patternFill patternType="solid">
        <fgColor rgb="FFEAF2F8"/>
        <bgColor rgb="FFF7FBFE"/>
      </patternFill>
    </fill>
    <fill>
      <patternFill patternType="solid">
        <fgColor rgb="FF00A6A6"/>
        <bgColor rgb="FF008080"/>
      </patternFill>
    </fill>
    <fill>
      <patternFill patternType="solid">
        <fgColor rgb="FFF7FBF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6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6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7365D"/>
          <bgColor rgb="FF000000"/>
        </patternFill>
      </fill>
    </dxf>
    <dxf>
      <fill>
        <patternFill patternType="solid">
          <fgColor rgb="FFF7FB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A6A6"/>
      <rgbColor rgb="FFC0C0C0"/>
      <rgbColor rgb="FF878787"/>
      <rgbColor rgb="FF9999FF"/>
      <rgbColor rgb="FFC0504D"/>
      <rgbColor rgb="FFF7FBFE"/>
      <rgbColor rgb="FFEAF2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F75B5"/>
      <rgbColor rgb="FF4BACC6"/>
      <rgbColor rgb="FF9BBB59"/>
      <rgbColor rgb="FFFFCC00"/>
      <rgbColor rgb="FFFF9900"/>
      <rgbColor rgb="FFFF6600"/>
      <rgbColor rgb="FF8064A2"/>
      <rgbColor rgb="FF969696"/>
      <rgbColor rgb="FF17365D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Tasks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Dashboard!$A$9:$A$13</c:f>
              <c:strCache>
                <c:ptCount val="5"/>
                <c:pt idx="0">
                  <c:v>Not Started</c:v>
                </c:pt>
                <c:pt idx="1">
                  <c:v>In Progress</c:v>
                </c:pt>
                <c:pt idx="2">
                  <c:v>Blocked</c:v>
                </c:pt>
                <c:pt idx="3">
                  <c:v>Done</c:v>
                </c:pt>
                <c:pt idx="4">
                  <c:v>On Hold</c:v>
                </c:pt>
              </c:strCache>
            </c:strRef>
          </c:cat>
          <c:val>
            <c:numRef>
              <c:f>Dashboard!$B$9:$B$13</c:f>
              <c:numCache>
                <c:formatCode>General</c:formatCode>
                <c:ptCount val="5"/>
                <c:pt idx="0">
                  <c:v>84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</c:numCache>
            </c:numRef>
          </c:val>
        </c:ser>
        <c:gapWidth val="150"/>
        <c:overlap val="0"/>
        <c:axId val="48867015"/>
        <c:axId val="84064126"/>
      </c:barChart>
      <c:catAx>
        <c:axId val="4886701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Tasks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064126"/>
        <c:crosses val="autoZero"/>
        <c:auto val="1"/>
        <c:lblAlgn val="ctr"/>
        <c:lblOffset val="100"/>
        <c:noMultiLvlLbl val="0"/>
      </c:catAx>
      <c:valAx>
        <c:axId val="840641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8670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Task Status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Dashboard!B8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Dashboard!$A$9:$A$13</c:f>
              <c:strCache>
                <c:ptCount val="5"/>
                <c:pt idx="0">
                  <c:v>Not Started</c:v>
                </c:pt>
                <c:pt idx="1">
                  <c:v>In Progress</c:v>
                </c:pt>
                <c:pt idx="2">
                  <c:v>Blocked</c:v>
                </c:pt>
                <c:pt idx="3">
                  <c:v>Done</c:v>
                </c:pt>
                <c:pt idx="4">
                  <c:v>On Hold</c:v>
                </c:pt>
              </c:strCache>
            </c:strRef>
          </c:cat>
          <c:val>
            <c:numRef>
              <c:f>Dashboard!$B$9:$B$13</c:f>
              <c:numCache>
                <c:formatCode>General</c:formatCode>
                <c:ptCount val="5"/>
                <c:pt idx="0">
                  <c:v>84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266760</xdr:rowOff>
    </xdr:from>
    <xdr:to>
      <xdr:col>2</xdr:col>
      <xdr:colOff>780120</xdr:colOff>
      <xdr:row>39</xdr:row>
      <xdr:rowOff>102240</xdr:rowOff>
    </xdr:to>
    <xdr:graphicFrame>
      <xdr:nvGraphicFramePr>
        <xdr:cNvPr id="0" name="Chart 1"/>
        <xdr:cNvGraphicFramePr/>
      </xdr:nvGraphicFramePr>
      <xdr:xfrm>
        <a:off x="0" y="6515280"/>
        <a:ext cx="359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266760</xdr:rowOff>
    </xdr:from>
    <xdr:to>
      <xdr:col>7</xdr:col>
      <xdr:colOff>420480</xdr:colOff>
      <xdr:row>39</xdr:row>
      <xdr:rowOff>102240</xdr:rowOff>
    </xdr:to>
    <xdr:graphicFrame>
      <xdr:nvGraphicFramePr>
        <xdr:cNvPr id="1" name="Chart 2"/>
        <xdr:cNvGraphicFramePr/>
      </xdr:nvGraphicFramePr>
      <xdr:xfrm>
        <a:off x="7189560" y="6515280"/>
        <a:ext cx="323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DailyStatus" displayName="DailyStatus" ref="A1:K61" headerRowCount="1" totalsRowCount="0" totalsRowShown="0">
  <autoFilter ref="A1:K61"/>
  <tableColumns count="11">
    <tableColumn id="1" name="Date"/>
    <tableColumn id="2" name="Day"/>
    <tableColumn id="3" name="Overall Status"/>
    <tableColumn id="4" name="% Project Complete"/>
    <tableColumn id="5" name="Today’s Focus"/>
    <tableColumn id="6" name="Completed Today"/>
    <tableColumn id="7" name="Blockers / Risks"/>
    <tableColumn id="8" name="Decision Needed"/>
    <tableColumn id="9" name="Tomorrow’s Plan"/>
    <tableColumn id="10" name="Owner"/>
    <tableColumn id="11" name="Evidence / Link"/>
  </tableColumns>
</table>
</file>

<file path=xl/tables/table2.xml><?xml version="1.0" encoding="utf-8"?>
<table xmlns="http://schemas.openxmlformats.org/spreadsheetml/2006/main" id="2" name="Milestones" displayName="Milestones" ref="A1:G7" headerRowCount="1" totalsRowCount="0" totalsRowShown="0">
  <autoFilter ref="A1:G7"/>
  <tableColumns count="7">
    <tableColumn id="1" name="Milestone"/>
    <tableColumn id="2" name="Target Date"/>
    <tableColumn id="3" name="Success Measure"/>
    <tableColumn id="4" name="Status"/>
    <tableColumn id="5" name="% Complete"/>
    <tableColumn id="6" name="Owner"/>
    <tableColumn id="7" name="Notes"/>
  </tableColumns>
</table>
</file>

<file path=xl/tables/table3.xml><?xml version="1.0" encoding="utf-8"?>
<table xmlns="http://schemas.openxmlformats.org/spreadsheetml/2006/main" id="3" name="RisksDecisions" displayName="RisksDecisions" ref="A1:I7" headerRowCount="1" totalsRowCount="0" totalsRowShown="0">
  <autoFilter ref="A1:I7"/>
  <tableColumns count="9">
    <tableColumn id="1" name="ID"/>
    <tableColumn id="2" name="Type"/>
    <tableColumn id="3" name="Risk / Decision"/>
    <tableColumn id="4" name="Impact"/>
    <tableColumn id="5" name="Probability"/>
    <tableColumn id="6" name="Mitigation / Next Step"/>
    <tableColumn id="7" name="Owner"/>
    <tableColumn id="8" name="Status"/>
    <tableColumn id="9" name="Review Date"/>
  </tableColumns>
</table>
</file>

<file path=xl/tables/table4.xml><?xml version="1.0" encoding="utf-8"?>
<table xmlns="http://schemas.openxmlformats.org/spreadsheetml/2006/main" id="4" name="TaskTracker" displayName="TaskTracker" ref="A1:P22" headerRowCount="1" totalsRowCount="0" totalsRowShown="0">
  <autoFilter ref="A1:P22"/>
  <tableColumns count="16">
    <tableColumn id="1" name="ID"/>
    <tableColumn id="2" name="Phase"/>
    <tableColumn id="3" name="Area"/>
    <tableColumn id="4" name="Task"/>
    <tableColumn id="5" name="Description / Definition of Done"/>
    <tableColumn id="6" name="Owner"/>
    <tableColumn id="7" name="Priority"/>
    <tableColumn id="8" name="Status"/>
    <tableColumn id="9" name="Start Date"/>
    <tableColumn id="10" name="Due Date"/>
    <tableColumn id="11" name="% Complete"/>
    <tableColumn id="12" name="Dependencies"/>
    <tableColumn id="13" name="Next Action"/>
    <tableColumn id="14" name="Notes"/>
    <tableColumn id="15" name="Days Left"/>
    <tableColumn id="16" name="Healt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3" style="0" width="22"/>
    <col collapsed="false" customWidth="true" hidden="false" outlineLevel="0" max="6" min="5" style="0" width="18"/>
    <col collapsed="false" customWidth="true" hidden="false" outlineLevel="0" max="7" min="7" style="0" width="22"/>
    <col collapsed="false" customWidth="true" hidden="false" outlineLevel="0" max="8" min="8" style="0" width="24"/>
  </cols>
  <sheetData>
    <row r="1" customFormat="false" ht="24.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2</v>
      </c>
      <c r="B4" s="3"/>
      <c r="C4" s="4" t="s">
        <v>3</v>
      </c>
      <c r="D4" s="3"/>
      <c r="E4" s="4" t="s">
        <v>4</v>
      </c>
      <c r="F4" s="3"/>
      <c r="G4" s="4" t="s">
        <v>5</v>
      </c>
      <c r="H4" s="3"/>
    </row>
    <row r="5" customFormat="false" ht="22.35" hidden="false" customHeight="false" outlineLevel="0" collapsed="false">
      <c r="A5" s="5" t="n">
        <f aca="false">COUNTA('Task Tracker'!A2:A200)</f>
        <v>90</v>
      </c>
      <c r="B5" s="3"/>
      <c r="C5" s="5" t="n">
        <f aca="false">COUNTIF('Task Tracker'!H2:H200,"Done")</f>
        <v>0</v>
      </c>
      <c r="D5" s="3"/>
      <c r="E5" s="5" t="n">
        <f aca="false">COUNTIF('Task Tracker'!H2:H200,"Blocked")</f>
        <v>0</v>
      </c>
      <c r="F5" s="3"/>
      <c r="G5" s="6" t="n">
        <f aca="false">IFERROR(AVERAGE('Task Tracker'!K2:K200),0)</f>
        <v>0</v>
      </c>
      <c r="H5" s="7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</row>
    <row r="8" customFormat="false" ht="15" hidden="false" customHeight="false" outlineLevel="0" collapsed="false">
      <c r="A8" s="8" t="s">
        <v>6</v>
      </c>
      <c r="B8" s="3"/>
      <c r="C8" s="3"/>
      <c r="D8" s="8" t="s">
        <v>7</v>
      </c>
      <c r="E8" s="3"/>
      <c r="F8" s="3"/>
      <c r="G8" s="3"/>
      <c r="H8" s="3"/>
    </row>
    <row r="9" customFormat="false" ht="15" hidden="false" customHeight="false" outlineLevel="0" collapsed="false">
      <c r="A9" s="3" t="s">
        <v>8</v>
      </c>
      <c r="B9" s="3" t="n">
        <f aca="false">COUNTIF('Task Tracker'!H2:H200,A9)</f>
        <v>84</v>
      </c>
      <c r="C9" s="3"/>
      <c r="D9" s="3" t="s">
        <v>9</v>
      </c>
      <c r="E9" s="3" t="n">
        <f aca="false">COUNTIF('Task Tracker'!B2:B200,0)</f>
        <v>9</v>
      </c>
      <c r="F9" s="7" t="n">
        <f aca="false">IFERROR(AVERAGEIF('Task Tracker'!B2:B200,0,'Task Tracker'!K2:K200),0)</f>
        <v>0</v>
      </c>
      <c r="G9" s="3"/>
      <c r="H9" s="3"/>
    </row>
    <row r="10" customFormat="false" ht="15" hidden="false" customHeight="false" outlineLevel="0" collapsed="false">
      <c r="A10" s="3" t="s">
        <v>10</v>
      </c>
      <c r="B10" s="3" t="n">
        <f aca="false">COUNTIF('Task Tracker'!H2:H200,A10)</f>
        <v>0</v>
      </c>
      <c r="C10" s="3"/>
      <c r="D10" s="3" t="s">
        <v>11</v>
      </c>
      <c r="E10" s="3" t="n">
        <f aca="false">COUNTIF('Task Tracker'!B2:B200,1)</f>
        <v>19</v>
      </c>
      <c r="F10" s="7" t="n">
        <f aca="false">IFERROR(AVERAGEIF('Task Tracker'!B2:B200,1,'Task Tracker'!K2:K200),0)</f>
        <v>0</v>
      </c>
      <c r="G10" s="3"/>
      <c r="H10" s="3"/>
    </row>
    <row r="11" customFormat="false" ht="15" hidden="false" customHeight="false" outlineLevel="0" collapsed="false">
      <c r="A11" s="3" t="s">
        <v>4</v>
      </c>
      <c r="B11" s="3" t="n">
        <f aca="false">COUNTIF('Task Tracker'!H2:H200,A11)</f>
        <v>0</v>
      </c>
      <c r="C11" s="3"/>
      <c r="D11" s="3" t="s">
        <v>12</v>
      </c>
      <c r="E11" s="3" t="n">
        <f aca="false">COUNTIF('Task Tracker'!B2:B200,2)</f>
        <v>7</v>
      </c>
      <c r="F11" s="7" t="n">
        <f aca="false">IFERROR(AVERAGEIF('Task Tracker'!B2:B200,2,'Task Tracker'!K2:K200),0)</f>
        <v>0</v>
      </c>
      <c r="G11" s="3"/>
      <c r="H11" s="3"/>
    </row>
    <row r="12" customFormat="false" ht="15" hidden="false" customHeight="false" outlineLevel="0" collapsed="false">
      <c r="A12" s="3" t="s">
        <v>13</v>
      </c>
      <c r="B12" s="3" t="n">
        <f aca="false">COUNTIF('Task Tracker'!H2:H200,A12)</f>
        <v>0</v>
      </c>
      <c r="C12" s="3"/>
      <c r="D12" s="3" t="s">
        <v>14</v>
      </c>
      <c r="E12" s="3" t="n">
        <f aca="false">COUNTIF('Task Tracker'!B2:B200,3)</f>
        <v>7</v>
      </c>
      <c r="F12" s="7" t="n">
        <f aca="false">IFERROR(AVERAGEIF('Task Tracker'!B2:B200,3,'Task Tracker'!K2:K200),0)</f>
        <v>0</v>
      </c>
      <c r="G12" s="3"/>
      <c r="H12" s="3"/>
    </row>
    <row r="13" customFormat="false" ht="15" hidden="false" customHeight="false" outlineLevel="0" collapsed="false">
      <c r="A13" s="3" t="s">
        <v>15</v>
      </c>
      <c r="B13" s="3" t="n">
        <f aca="false">COUNTIF('Task Tracker'!H2:H200,A13)</f>
        <v>6</v>
      </c>
      <c r="C13" s="3"/>
      <c r="D13" s="3" t="s">
        <v>16</v>
      </c>
      <c r="E13" s="3" t="n">
        <f aca="false">COUNTIF('Task Tracker'!B2:B200,4)</f>
        <v>4</v>
      </c>
      <c r="F13" s="7" t="n">
        <f aca="false">IFERROR(AVERAGEIF('Task Tracker'!B2:B200,4,'Task Tracker'!K2:K200),0)</f>
        <v>0</v>
      </c>
      <c r="G13" s="3"/>
      <c r="H13" s="3"/>
    </row>
    <row r="14" customFormat="false" ht="28.35" hidden="false" customHeight="false" outlineLevel="0" collapsed="false">
      <c r="A14" s="3" t="s">
        <v>17</v>
      </c>
      <c r="B14" s="3" t="n">
        <f aca="false">COUNTIF('Task Tracker'!P2:P200,"RED")</f>
        <v>0</v>
      </c>
      <c r="C14" s="3"/>
      <c r="D14" s="3" t="s">
        <v>18</v>
      </c>
      <c r="E14" s="3" t="n">
        <f aca="false">COUNTIF('Task Tracker'!B2:B200,5)</f>
        <v>5</v>
      </c>
      <c r="F14" s="7" t="n">
        <f aca="false">IFERROR(AVERAGEIF('Task Tracker'!B2:B200,5,'Task Tracker'!K2:K200),0)</f>
        <v>0</v>
      </c>
      <c r="G14" s="3"/>
      <c r="H14" s="3"/>
    </row>
    <row r="15" customFormat="false" ht="28.35" hidden="false" customHeight="false" outlineLevel="0" collapsed="false">
      <c r="A15" s="3" t="s">
        <v>19</v>
      </c>
      <c r="B15" s="3" t="n">
        <f aca="false">COUNTIF('Task Tracker'!P2:P200,"AMBER")</f>
        <v>9</v>
      </c>
      <c r="C15" s="3"/>
      <c r="D15" s="3" t="s">
        <v>20</v>
      </c>
      <c r="E15" s="3" t="n">
        <f aca="false">COUNTIF('Task Tracker'!B2:B200,6)</f>
        <v>7</v>
      </c>
      <c r="F15" s="7" t="n">
        <f aca="false">IFERROR(AVERAGEIF('Task Tracker'!B2:B200,6,'Task Tracker'!K2:K200),0)</f>
        <v>0</v>
      </c>
      <c r="G15" s="3"/>
      <c r="H15" s="3"/>
    </row>
    <row r="16" customFormat="false" ht="15" hidden="false" customHeight="false" outlineLevel="0" collapsed="false">
      <c r="A16" s="3"/>
      <c r="B16" s="3"/>
      <c r="C16" s="3"/>
      <c r="D16" s="3" t="s">
        <v>21</v>
      </c>
      <c r="E16" s="3" t="n">
        <f aca="false">COUNTIF('Task Tracker'!B2:B200,7)</f>
        <v>6</v>
      </c>
      <c r="F16" s="7" t="n">
        <f aca="false">IFERROR(AVERAGEIF('Task Tracker'!B2:B200,7,'Task Tracker'!K2:K200),0)</f>
        <v>0</v>
      </c>
      <c r="G16" s="3"/>
      <c r="H16" s="3"/>
    </row>
    <row r="17" customFormat="false" ht="15" hidden="false" customHeight="false" outlineLevel="0" collapsed="false">
      <c r="A17" s="3"/>
      <c r="B17" s="3"/>
      <c r="C17" s="3"/>
      <c r="D17" s="3" t="s">
        <v>22</v>
      </c>
      <c r="E17" s="3" t="n">
        <f aca="false">COUNTIF('Task Tracker'!B2:B200,8)</f>
        <v>2</v>
      </c>
      <c r="F17" s="7" t="n">
        <f aca="false">IFERROR(AVERAGEIF('Task Tracker'!B2:B200,8,'Task Tracker'!K2:K200),0)</f>
        <v>0</v>
      </c>
      <c r="G17" s="3"/>
      <c r="H17" s="3"/>
    </row>
    <row r="18" customFormat="false" ht="15" hidden="false" customHeight="false" outlineLevel="0" collapsed="false">
      <c r="A18" s="3"/>
      <c r="B18" s="3"/>
      <c r="C18" s="3"/>
      <c r="D18" s="3" t="s">
        <v>23</v>
      </c>
      <c r="E18" s="3" t="n">
        <f aca="false">COUNTIF('Task Tracker'!B2:B200,9)</f>
        <v>4</v>
      </c>
      <c r="F18" s="7" t="n">
        <f aca="false">IFERROR(AVERAGEIF('Task Tracker'!B2:B200,9,'Task Tracker'!K2:K200),0)</f>
        <v>0</v>
      </c>
      <c r="G18" s="3"/>
      <c r="H18" s="3"/>
    </row>
    <row r="19" customFormat="false" ht="15" hidden="false" customHeight="false" outlineLevel="0" collapsed="false">
      <c r="A19" s="3"/>
      <c r="B19" s="3"/>
      <c r="C19" s="3"/>
      <c r="D19" s="3" t="s">
        <v>24</v>
      </c>
      <c r="E19" s="3" t="n">
        <f aca="false">COUNTIF('Task Tracker'!B2:B200,10)</f>
        <v>16</v>
      </c>
      <c r="F19" s="7" t="n">
        <f aca="false">IFERROR(AVERAGEIF('Task Tracker'!B2:B200,10,'Task Tracker'!K2:K200),0)</f>
        <v>0</v>
      </c>
      <c r="G19" s="3"/>
      <c r="H19" s="3"/>
    </row>
    <row r="20" customFormat="false" ht="15" hidden="false" customHeight="false" outlineLevel="0" collapsed="false">
      <c r="A20" s="3"/>
      <c r="B20" s="3"/>
      <c r="C20" s="3"/>
      <c r="D20" s="3" t="s">
        <v>25</v>
      </c>
      <c r="E20" s="3" t="n">
        <f aca="false">COUNTIF('Task Tracker'!B2:B200,11)</f>
        <v>4</v>
      </c>
      <c r="F20" s="7" t="n">
        <f aca="false">IFERROR(AVERAGEIF('Task Tracker'!B2:B200,11,'Task Tracker'!K2:K200),0)</f>
        <v>0</v>
      </c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8" t="s">
        <v>26</v>
      </c>
      <c r="B22" s="3"/>
      <c r="C22" s="3"/>
      <c r="D22" s="3"/>
      <c r="E22" s="3"/>
      <c r="F22" s="7"/>
      <c r="G22" s="3"/>
      <c r="H22" s="3"/>
    </row>
    <row r="23" customFormat="false" ht="15" hidden="false" customHeight="false" outlineLevel="0" collapsed="false">
      <c r="A23" s="3" t="s">
        <v>27</v>
      </c>
      <c r="B23" s="9" t="n">
        <f aca="true">IFERROR(SMALL(Milestones!B2:B13,COUNTIF(Milestones!B2:B13,"&lt;"&amp;TODAY())+1),"None")</f>
        <v>46298</v>
      </c>
      <c r="C23" s="3" t="s">
        <v>28</v>
      </c>
      <c r="D23" s="3" t="str">
        <f aca="false">IFERROR(INDEX(Milestones!A2:A13,MATCH(B23,Milestones!B2:B13,0)),"All dates passed")</f>
        <v>Discovery gate</v>
      </c>
      <c r="E23" s="3"/>
      <c r="F23" s="7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  <row r="25" customFormat="false" ht="28.35" hidden="false" customHeight="false" outlineLevel="0" collapsed="false">
      <c r="A25" s="8" t="s">
        <v>29</v>
      </c>
      <c r="B25" s="3"/>
      <c r="C25" s="3"/>
      <c r="D25" s="3"/>
      <c r="E25" s="3"/>
      <c r="F25" s="7"/>
      <c r="G25" s="3"/>
      <c r="H25" s="3"/>
    </row>
    <row r="26" customFormat="false" ht="15" hidden="false" customHeight="false" outlineLevel="0" collapsed="false">
      <c r="A26" s="3" t="s">
        <v>30</v>
      </c>
      <c r="B26" s="9" t="n">
        <f aca="true">TODAY()</f>
        <v>46285</v>
      </c>
      <c r="C26" s="3" t="s">
        <v>31</v>
      </c>
      <c r="D26" s="3" t="str">
        <f aca="true">IFERROR(INDEX('Daily Status'!C:C,MATCH(TODAY(),'Daily Status'!A:A,0)),"Not in range")</f>
        <v>Not in range</v>
      </c>
      <c r="E26" s="3"/>
      <c r="F26" s="7"/>
      <c r="G26" s="3"/>
      <c r="H26" s="3"/>
    </row>
    <row r="27" customFormat="false" ht="15" hidden="false" customHeight="false" outlineLevel="0" collapsed="false">
      <c r="A27" s="3" t="s">
        <v>32</v>
      </c>
      <c r="B27" s="10" t="str">
        <f aca="true">IFERROR(INDEX('Daily Status'!E:E,MATCH(TODAY(),'Daily Status'!A:A,0)),"Log runs 21 Sep 2026 to 1 Jan 2027")</f>
        <v>Log runs 21 Sep 2026 to 1 Jan 2027</v>
      </c>
      <c r="C27" s="10"/>
      <c r="D27" s="10"/>
      <c r="E27" s="10"/>
      <c r="F27" s="10"/>
      <c r="G27" s="10"/>
      <c r="H27" s="10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15" hidden="false" customHeight="false" outlineLevel="0" collapsed="false">
      <c r="A29" s="8" t="s">
        <v>33</v>
      </c>
      <c r="B29" s="3"/>
      <c r="C29" s="3"/>
      <c r="D29" s="3"/>
      <c r="E29" s="3"/>
      <c r="F29" s="7"/>
      <c r="G29" s="3"/>
      <c r="H29" s="3"/>
    </row>
    <row r="30" customFormat="false" ht="48" hidden="false" customHeight="true" outlineLevel="0" collapsed="false">
      <c r="A30" s="11" t="s">
        <v>34</v>
      </c>
      <c r="B30" s="11"/>
      <c r="C30" s="11"/>
      <c r="D30" s="11"/>
      <c r="E30" s="11"/>
      <c r="F30" s="11"/>
      <c r="G30" s="11"/>
      <c r="H30" s="11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</row>
  </sheetData>
  <mergeCells count="4">
    <mergeCell ref="A1:H1"/>
    <mergeCell ref="A2:H2"/>
    <mergeCell ref="B27:H27"/>
    <mergeCell ref="A30:H30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&amp;CFormiva Project Management Dashboard |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5" hidden="false" customHeight="false" outlineLevel="0" collapsed="false">
      <c r="A1" s="12" t="s">
        <v>35</v>
      </c>
      <c r="B1" s="12" t="s">
        <v>36</v>
      </c>
      <c r="C1" s="12" t="s">
        <v>37</v>
      </c>
      <c r="D1" s="12" t="s">
        <v>38</v>
      </c>
      <c r="E1" s="12" t="s">
        <v>39</v>
      </c>
    </row>
    <row r="2" customFormat="false" ht="15" hidden="false" customHeight="false" outlineLevel="0" collapsed="false">
      <c r="A2" s="3" t="s">
        <v>8</v>
      </c>
      <c r="B2" s="3" t="s">
        <v>40</v>
      </c>
      <c r="C2" s="3" t="s">
        <v>41</v>
      </c>
      <c r="D2" s="3" t="s">
        <v>42</v>
      </c>
      <c r="E2" s="3"/>
    </row>
    <row r="3" customFormat="false" ht="15" hidden="false" customHeight="false" outlineLevel="0" collapsed="false">
      <c r="A3" s="3" t="s">
        <v>10</v>
      </c>
      <c r="B3" s="3" t="s">
        <v>43</v>
      </c>
      <c r="C3" s="3" t="s">
        <v>44</v>
      </c>
      <c r="D3" s="3" t="s">
        <v>45</v>
      </c>
      <c r="E3" s="3"/>
    </row>
    <row r="4" customFormat="false" ht="15" hidden="false" customHeight="false" outlineLevel="0" collapsed="false">
      <c r="A4" s="3" t="s">
        <v>4</v>
      </c>
      <c r="B4" s="3" t="s">
        <v>46</v>
      </c>
      <c r="C4" s="3" t="s">
        <v>47</v>
      </c>
      <c r="D4" s="3" t="s">
        <v>48</v>
      </c>
      <c r="E4" s="3"/>
    </row>
    <row r="5" customFormat="false" ht="15" hidden="false" customHeight="false" outlineLevel="0" collapsed="false">
      <c r="A5" s="3" t="s">
        <v>13</v>
      </c>
      <c r="B5" s="3" t="s">
        <v>49</v>
      </c>
      <c r="C5" s="3" t="s">
        <v>50</v>
      </c>
      <c r="D5" s="3" t="s">
        <v>51</v>
      </c>
      <c r="E5" s="3"/>
    </row>
    <row r="6" customFormat="false" ht="15" hidden="false" customHeight="false" outlineLevel="0" collapsed="false">
      <c r="A6" s="3" t="s">
        <v>15</v>
      </c>
      <c r="B6" s="3"/>
      <c r="C6" s="3" t="s">
        <v>52</v>
      </c>
      <c r="D6" s="3" t="s">
        <v>53</v>
      </c>
      <c r="E6" s="3"/>
    </row>
    <row r="7" customFormat="false" ht="15" hidden="false" customHeight="false" outlineLevel="0" collapsed="false">
      <c r="A7" s="3"/>
      <c r="B7" s="3"/>
      <c r="C7" s="3" t="s">
        <v>54</v>
      </c>
      <c r="D7" s="3" t="s">
        <v>55</v>
      </c>
      <c r="E7" s="3"/>
    </row>
    <row r="8" customFormat="false" ht="28.35" hidden="false" customHeight="false" outlineLevel="0" collapsed="false">
      <c r="A8" s="3"/>
      <c r="B8" s="3"/>
      <c r="C8" s="3" t="s">
        <v>56</v>
      </c>
      <c r="D8" s="3" t="s">
        <v>57</v>
      </c>
      <c r="E8" s="3"/>
    </row>
    <row r="9" customFormat="false" ht="15" hidden="false" customHeight="false" outlineLevel="0" collapsed="false">
      <c r="A9" s="3"/>
      <c r="B9" s="3"/>
      <c r="C9" s="3" t="s">
        <v>58</v>
      </c>
      <c r="D9" s="3" t="s">
        <v>59</v>
      </c>
      <c r="E9" s="3"/>
    </row>
    <row r="10" customFormat="false" ht="15" hidden="false" customHeight="false" outlineLevel="0" collapsed="false">
      <c r="A10" s="3"/>
      <c r="B10" s="3"/>
      <c r="C10" s="3" t="s">
        <v>60</v>
      </c>
      <c r="D10" s="3"/>
      <c r="E10" s="3"/>
    </row>
    <row r="11" customFormat="false" ht="15" hidden="false" customHeight="false" outlineLevel="0" collapsed="false">
      <c r="A11" s="3"/>
      <c r="B11" s="3"/>
      <c r="C11" s="3" t="s">
        <v>61</v>
      </c>
      <c r="D11" s="3"/>
      <c r="E11" s="3"/>
    </row>
    <row r="12" customFormat="false" ht="15" hidden="false" customHeight="false" outlineLevel="0" collapsed="false">
      <c r="A12" s="3"/>
      <c r="B12" s="3"/>
      <c r="C12" s="3" t="s">
        <v>62</v>
      </c>
      <c r="D12" s="3"/>
      <c r="E1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5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11" min="9" style="0" width="13"/>
    <col collapsed="false" customWidth="true" hidden="false" outlineLevel="0" max="12" min="12" style="0" width="18"/>
    <col collapsed="false" customWidth="true" hidden="false" outlineLevel="0" max="13" min="13" style="0" width="34"/>
    <col collapsed="false" customWidth="true" hidden="false" outlineLevel="0" max="14" min="14" style="0" width="30"/>
    <col collapsed="false" customWidth="true" hidden="false" outlineLevel="0" max="15" min="15" style="0" width="12"/>
    <col collapsed="false" customWidth="true" hidden="false" outlineLevel="0" max="16" min="16" style="0" width="10"/>
  </cols>
  <sheetData>
    <row r="1" customFormat="false" ht="28.35" hidden="false" customHeight="false" outlineLevel="0" collapsed="false">
      <c r="A1" s="13" t="s">
        <v>63</v>
      </c>
      <c r="B1" s="13" t="s">
        <v>64</v>
      </c>
      <c r="C1" s="13" t="s">
        <v>37</v>
      </c>
      <c r="D1" s="13" t="s">
        <v>65</v>
      </c>
      <c r="E1" s="13" t="s">
        <v>66</v>
      </c>
      <c r="F1" s="13" t="s">
        <v>38</v>
      </c>
      <c r="G1" s="13" t="s">
        <v>36</v>
      </c>
      <c r="H1" s="13" t="s">
        <v>67</v>
      </c>
      <c r="I1" s="13" t="s">
        <v>68</v>
      </c>
      <c r="J1" s="13" t="s">
        <v>69</v>
      </c>
      <c r="K1" s="13" t="s">
        <v>70</v>
      </c>
      <c r="L1" s="13" t="s">
        <v>71</v>
      </c>
      <c r="M1" s="13" t="s">
        <v>72</v>
      </c>
      <c r="N1" s="13" t="s">
        <v>73</v>
      </c>
      <c r="O1" s="13" t="s">
        <v>74</v>
      </c>
      <c r="P1" s="13" t="s">
        <v>75</v>
      </c>
    </row>
    <row r="2" customFormat="false" ht="41.75" hidden="false" customHeight="false" outlineLevel="0" collapsed="false">
      <c r="A2" s="14" t="s">
        <v>76</v>
      </c>
      <c r="B2" s="14" t="n">
        <v>0</v>
      </c>
      <c r="C2" s="14" t="s">
        <v>61</v>
      </c>
      <c r="D2" s="14" t="s">
        <v>77</v>
      </c>
      <c r="E2" s="14" t="s">
        <v>78</v>
      </c>
      <c r="F2" s="14" t="s">
        <v>42</v>
      </c>
      <c r="G2" s="14" t="s">
        <v>40</v>
      </c>
      <c r="H2" s="14" t="s">
        <v>8</v>
      </c>
      <c r="I2" s="15" t="n">
        <v>46286</v>
      </c>
      <c r="J2" s="15" t="n">
        <v>46298</v>
      </c>
      <c r="K2" s="16" t="n">
        <v>0</v>
      </c>
      <c r="L2" s="14"/>
      <c r="M2" s="14" t="s">
        <v>79</v>
      </c>
      <c r="N2" s="14" t="s">
        <v>80</v>
      </c>
      <c r="O2" s="14" t="n">
        <f aca="true">IF(H2="Done",0,IF(J2&lt;TODAY(),"OVERDUE",J2-TODAY()))</f>
        <v>13</v>
      </c>
      <c r="P2" s="17" t="str">
        <f aca="true">IF(H2="Blocked","RED",IF(H2="Done","GREEN",IF(J2&lt;TODAY(),"RED",IF(J2-TODAY()&lt;=7,"AMBER","GREEN"))))</f>
        <v>GREEN</v>
      </c>
    </row>
    <row r="3" customFormat="false" ht="28.35" hidden="false" customHeight="false" outlineLevel="0" collapsed="false">
      <c r="A3" s="3" t="s">
        <v>81</v>
      </c>
      <c r="B3" s="3" t="n">
        <v>0</v>
      </c>
      <c r="C3" s="18" t="s">
        <v>61</v>
      </c>
      <c r="D3" s="3" t="s">
        <v>82</v>
      </c>
      <c r="E3" s="3" t="s">
        <v>83</v>
      </c>
      <c r="F3" s="18" t="s">
        <v>42</v>
      </c>
      <c r="G3" s="18" t="s">
        <v>40</v>
      </c>
      <c r="H3" s="18" t="s">
        <v>8</v>
      </c>
      <c r="I3" s="9" t="n">
        <v>46286</v>
      </c>
      <c r="J3" s="9" t="n">
        <v>46298</v>
      </c>
      <c r="K3" s="7" t="n">
        <v>0</v>
      </c>
      <c r="L3" s="3" t="s">
        <v>76</v>
      </c>
      <c r="M3" s="3" t="s">
        <v>84</v>
      </c>
      <c r="N3" s="3" t="s">
        <v>85</v>
      </c>
      <c r="O3" s="3" t="n">
        <f aca="true">IF(H3="Done",0,IF(J3&lt;TODAY(),"OVERDUE",J3-TODAY()))</f>
        <v>13</v>
      </c>
      <c r="P3" s="3" t="str">
        <f aca="true">IF(H3="Blocked","RED",IF(H3="Done","GREEN",IF(J3&lt;TODAY(),"RED",IF(J3-TODAY()&lt;=7,"AMBER","GREEN"))))</f>
        <v>GREEN</v>
      </c>
    </row>
    <row r="4" customFormat="false" ht="28.35" hidden="false" customHeight="false" outlineLevel="0" collapsed="false">
      <c r="A4" s="14" t="s">
        <v>86</v>
      </c>
      <c r="B4" s="14" t="n">
        <v>0</v>
      </c>
      <c r="C4" s="14" t="s">
        <v>61</v>
      </c>
      <c r="D4" s="14" t="s">
        <v>87</v>
      </c>
      <c r="E4" s="14" t="s">
        <v>88</v>
      </c>
      <c r="F4" s="14" t="s">
        <v>42</v>
      </c>
      <c r="G4" s="14" t="s">
        <v>43</v>
      </c>
      <c r="H4" s="14" t="s">
        <v>8</v>
      </c>
      <c r="I4" s="15" t="n">
        <v>46286</v>
      </c>
      <c r="J4" s="15" t="n">
        <v>46290</v>
      </c>
      <c r="K4" s="16" t="n">
        <v>0</v>
      </c>
      <c r="L4" s="14"/>
      <c r="M4" s="14" t="s">
        <v>89</v>
      </c>
      <c r="N4" s="14" t="s">
        <v>90</v>
      </c>
      <c r="O4" s="14" t="n">
        <f aca="true">IF(H4="Done",0,IF(J4&lt;TODAY(),"OVERDUE",J4-TODAY()))</f>
        <v>5</v>
      </c>
      <c r="P4" s="17" t="str">
        <f aca="true">IF(H4="Blocked","RED",IF(H4="Done","GREEN",IF(J4&lt;TODAY(),"RED",IF(J4-TODAY()&lt;=7,"AMBER","GREEN"))))</f>
        <v>AMBER</v>
      </c>
    </row>
    <row r="5" customFormat="false" ht="41.75" hidden="false" customHeight="false" outlineLevel="0" collapsed="false">
      <c r="A5" s="3" t="s">
        <v>91</v>
      </c>
      <c r="B5" s="3" t="n">
        <v>0</v>
      </c>
      <c r="C5" s="18" t="s">
        <v>41</v>
      </c>
      <c r="D5" s="3" t="s">
        <v>92</v>
      </c>
      <c r="E5" s="3" t="s">
        <v>93</v>
      </c>
      <c r="F5" s="18" t="s">
        <v>42</v>
      </c>
      <c r="G5" s="18" t="s">
        <v>43</v>
      </c>
      <c r="H5" s="18" t="s">
        <v>8</v>
      </c>
      <c r="I5" s="9" t="n">
        <v>46286</v>
      </c>
      <c r="J5" s="9" t="n">
        <v>46288</v>
      </c>
      <c r="K5" s="7" t="n">
        <v>0</v>
      </c>
      <c r="L5" s="3"/>
      <c r="M5" s="3" t="s">
        <v>94</v>
      </c>
      <c r="N5" s="3" t="s">
        <v>95</v>
      </c>
      <c r="O5" s="3" t="n">
        <f aca="true">IF(H5="Done",0,IF(J5&lt;TODAY(),"OVERDUE",J5-TODAY()))</f>
        <v>3</v>
      </c>
      <c r="P5" s="3" t="str">
        <f aca="true">IF(H5="Blocked","RED",IF(H5="Done","GREEN",IF(J5&lt;TODAY(),"RED",IF(J5-TODAY()&lt;=7,"AMBER","GREEN"))))</f>
        <v>AMBER</v>
      </c>
    </row>
    <row r="6" customFormat="false" ht="28.35" hidden="false" customHeight="false" outlineLevel="0" collapsed="false">
      <c r="A6" s="14" t="s">
        <v>96</v>
      </c>
      <c r="B6" s="14" t="n">
        <v>0</v>
      </c>
      <c r="C6" s="14" t="s">
        <v>44</v>
      </c>
      <c r="D6" s="14" t="s">
        <v>97</v>
      </c>
      <c r="E6" s="14" t="s">
        <v>98</v>
      </c>
      <c r="F6" s="14" t="s">
        <v>45</v>
      </c>
      <c r="G6" s="14" t="s">
        <v>40</v>
      </c>
      <c r="H6" s="14" t="s">
        <v>8</v>
      </c>
      <c r="I6" s="15" t="n">
        <v>46293</v>
      </c>
      <c r="J6" s="15" t="n">
        <v>46297</v>
      </c>
      <c r="K6" s="16" t="n">
        <v>0</v>
      </c>
      <c r="L6" s="14"/>
      <c r="M6" s="14" t="s">
        <v>99</v>
      </c>
      <c r="N6" s="14" t="s">
        <v>100</v>
      </c>
      <c r="O6" s="14" t="n">
        <f aca="true">IF(H6="Done",0,IF(J6&lt;TODAY(),"OVERDUE",J6-TODAY()))</f>
        <v>12</v>
      </c>
      <c r="P6" s="17" t="str">
        <f aca="true">IF(H6="Blocked","RED",IF(H6="Done","GREEN",IF(J6&lt;TODAY(),"RED",IF(J6-TODAY()&lt;=7,"AMBER","GREEN"))))</f>
        <v>GREEN</v>
      </c>
    </row>
    <row r="7" customFormat="false" ht="28.35" hidden="false" customHeight="false" outlineLevel="0" collapsed="false">
      <c r="A7" s="3" t="s">
        <v>101</v>
      </c>
      <c r="B7" s="3" t="n">
        <v>0</v>
      </c>
      <c r="C7" s="18" t="s">
        <v>41</v>
      </c>
      <c r="D7" s="3" t="s">
        <v>102</v>
      </c>
      <c r="E7" s="3" t="s">
        <v>103</v>
      </c>
      <c r="F7" s="18" t="s">
        <v>42</v>
      </c>
      <c r="G7" s="18" t="s">
        <v>43</v>
      </c>
      <c r="H7" s="18" t="s">
        <v>8</v>
      </c>
      <c r="I7" s="9" t="n">
        <v>46293</v>
      </c>
      <c r="J7" s="9" t="n">
        <v>46295</v>
      </c>
      <c r="K7" s="7" t="n">
        <v>0</v>
      </c>
      <c r="L7" s="3"/>
      <c r="M7" s="3" t="s">
        <v>104</v>
      </c>
      <c r="N7" s="3" t="s">
        <v>105</v>
      </c>
      <c r="O7" s="3" t="n">
        <f aca="true">IF(H7="Done",0,IF(J7&lt;TODAY(),"OVERDUE",J7-TODAY()))</f>
        <v>10</v>
      </c>
      <c r="P7" s="3" t="str">
        <f aca="true">IF(H7="Blocked","RED",IF(H7="Done","GREEN",IF(J7&lt;TODAY(),"RED",IF(J7-TODAY()&lt;=7,"AMBER","GREEN"))))</f>
        <v>GREEN</v>
      </c>
    </row>
    <row r="8" customFormat="false" ht="28.35" hidden="false" customHeight="false" outlineLevel="0" collapsed="false">
      <c r="A8" s="14" t="s">
        <v>106</v>
      </c>
      <c r="B8" s="14" t="n">
        <v>0</v>
      </c>
      <c r="C8" s="14" t="s">
        <v>44</v>
      </c>
      <c r="D8" s="14" t="s">
        <v>107</v>
      </c>
      <c r="E8" s="14" t="s">
        <v>108</v>
      </c>
      <c r="F8" s="14" t="s">
        <v>42</v>
      </c>
      <c r="G8" s="14" t="s">
        <v>40</v>
      </c>
      <c r="H8" s="14" t="s">
        <v>8</v>
      </c>
      <c r="I8" s="15" t="n">
        <v>46296</v>
      </c>
      <c r="J8" s="15" t="n">
        <v>46297</v>
      </c>
      <c r="K8" s="16" t="n">
        <v>0</v>
      </c>
      <c r="L8" s="14" t="s">
        <v>96</v>
      </c>
      <c r="M8" s="14" t="s">
        <v>109</v>
      </c>
      <c r="N8" s="14" t="s">
        <v>110</v>
      </c>
      <c r="O8" s="14" t="n">
        <f aca="true">IF(H8="Done",0,IF(J8&lt;TODAY(),"OVERDUE",J8-TODAY()))</f>
        <v>12</v>
      </c>
      <c r="P8" s="17" t="str">
        <f aca="true">IF(H8="Blocked","RED",IF(H8="Done","GREEN",IF(J8&lt;TODAY(),"RED",IF(J8-TODAY()&lt;=7,"AMBER","GREEN"))))</f>
        <v>GREEN</v>
      </c>
    </row>
    <row r="9" customFormat="false" ht="41.75" hidden="false" customHeight="false" outlineLevel="0" collapsed="false">
      <c r="A9" s="3" t="s">
        <v>111</v>
      </c>
      <c r="B9" s="3" t="n">
        <v>0</v>
      </c>
      <c r="C9" s="18" t="s">
        <v>61</v>
      </c>
      <c r="D9" s="3" t="s">
        <v>112</v>
      </c>
      <c r="E9" s="3" t="s">
        <v>113</v>
      </c>
      <c r="F9" s="18" t="s">
        <v>42</v>
      </c>
      <c r="G9" s="18" t="s">
        <v>40</v>
      </c>
      <c r="H9" s="18" t="s">
        <v>8</v>
      </c>
      <c r="I9" s="9" t="n">
        <v>46298</v>
      </c>
      <c r="J9" s="9" t="n">
        <v>46298</v>
      </c>
      <c r="K9" s="7" t="n">
        <v>0</v>
      </c>
      <c r="L9" s="3" t="s">
        <v>114</v>
      </c>
      <c r="M9" s="3" t="s">
        <v>115</v>
      </c>
      <c r="N9" s="3" t="s">
        <v>116</v>
      </c>
      <c r="O9" s="3" t="n">
        <f aca="true">IF(H9="Done",0,IF(J9&lt;TODAY(),"OVERDUE",J9-TODAY()))</f>
        <v>13</v>
      </c>
      <c r="P9" s="3" t="str">
        <f aca="true">IF(H9="Blocked","RED",IF(H9="Done","GREEN",IF(J9&lt;TODAY(),"RED",IF(J9-TODAY()&lt;=7,"AMBER","GREEN"))))</f>
        <v>GREEN</v>
      </c>
    </row>
    <row r="10" customFormat="false" ht="28.35" hidden="false" customHeight="false" outlineLevel="0" collapsed="false">
      <c r="A10" s="14" t="s">
        <v>117</v>
      </c>
      <c r="B10" s="14" t="n">
        <v>0</v>
      </c>
      <c r="C10" s="14" t="s">
        <v>60</v>
      </c>
      <c r="D10" s="14" t="s">
        <v>118</v>
      </c>
      <c r="E10" s="14" t="s">
        <v>119</v>
      </c>
      <c r="F10" s="14" t="s">
        <v>42</v>
      </c>
      <c r="G10" s="14" t="s">
        <v>43</v>
      </c>
      <c r="H10" s="14" t="s">
        <v>8</v>
      </c>
      <c r="I10" s="15" t="n">
        <v>46286</v>
      </c>
      <c r="J10" s="15" t="n">
        <v>46297</v>
      </c>
      <c r="K10" s="16" t="n">
        <v>0</v>
      </c>
      <c r="L10" s="14"/>
      <c r="M10" s="14" t="s">
        <v>120</v>
      </c>
      <c r="N10" s="14" t="s">
        <v>121</v>
      </c>
      <c r="O10" s="14" t="n">
        <f aca="true">IF(H10="Done",0,IF(J10&lt;TODAY(),"OVERDUE",J10-TODAY()))</f>
        <v>12</v>
      </c>
      <c r="P10" s="17" t="str">
        <f aca="true">IF(H10="Blocked","RED",IF(H10="Done","GREEN",IF(J10&lt;TODAY(),"RED",IF(J10-TODAY()&lt;=7,"AMBER","GREEN"))))</f>
        <v>GREEN</v>
      </c>
    </row>
    <row r="11" customFormat="false" ht="41.75" hidden="false" customHeight="false" outlineLevel="0" collapsed="false">
      <c r="A11" s="3" t="s">
        <v>122</v>
      </c>
      <c r="B11" s="3" t="n">
        <v>1</v>
      </c>
      <c r="C11" s="18" t="s">
        <v>58</v>
      </c>
      <c r="D11" s="3" t="s">
        <v>123</v>
      </c>
      <c r="E11" s="3" t="s">
        <v>124</v>
      </c>
      <c r="F11" s="18" t="s">
        <v>42</v>
      </c>
      <c r="G11" s="18" t="s">
        <v>40</v>
      </c>
      <c r="H11" s="18" t="s">
        <v>8</v>
      </c>
      <c r="I11" s="9" t="n">
        <v>46286</v>
      </c>
      <c r="J11" s="9" t="n">
        <v>46286</v>
      </c>
      <c r="K11" s="7" t="n">
        <v>0</v>
      </c>
      <c r="L11" s="3"/>
      <c r="M11" s="3" t="s">
        <v>125</v>
      </c>
      <c r="N11" s="3" t="s">
        <v>126</v>
      </c>
      <c r="O11" s="3" t="n">
        <f aca="true">IF(H11="Done",0,IF(J11&lt;TODAY(),"OVERDUE",J11-TODAY()))</f>
        <v>1</v>
      </c>
      <c r="P11" s="3" t="str">
        <f aca="true">IF(H11="Blocked","RED",IF(H11="Done","GREEN",IF(J11&lt;TODAY(),"RED",IF(J11-TODAY()&lt;=7,"AMBER","GREEN"))))</f>
        <v>AMBER</v>
      </c>
    </row>
    <row r="12" customFormat="false" ht="28.35" hidden="false" customHeight="false" outlineLevel="0" collapsed="false">
      <c r="A12" s="14" t="s">
        <v>127</v>
      </c>
      <c r="B12" s="14" t="n">
        <v>1</v>
      </c>
      <c r="C12" s="14" t="s">
        <v>58</v>
      </c>
      <c r="D12" s="14" t="s">
        <v>128</v>
      </c>
      <c r="E12" s="14" t="s">
        <v>129</v>
      </c>
      <c r="F12" s="14" t="s">
        <v>42</v>
      </c>
      <c r="G12" s="14" t="s">
        <v>40</v>
      </c>
      <c r="H12" s="14" t="s">
        <v>8</v>
      </c>
      <c r="I12" s="15" t="n">
        <v>46286</v>
      </c>
      <c r="J12" s="15" t="n">
        <v>46287</v>
      </c>
      <c r="K12" s="16" t="n">
        <v>0</v>
      </c>
      <c r="L12" s="14" t="s">
        <v>122</v>
      </c>
      <c r="M12" s="14" t="s">
        <v>130</v>
      </c>
      <c r="N12" s="14" t="s">
        <v>131</v>
      </c>
      <c r="O12" s="14" t="n">
        <f aca="true">IF(H12="Done",0,IF(J12&lt;TODAY(),"OVERDUE",J12-TODAY()))</f>
        <v>2</v>
      </c>
      <c r="P12" s="17" t="str">
        <f aca="true">IF(H12="Blocked","RED",IF(H12="Done","GREEN",IF(J12&lt;TODAY(),"RED",IF(J12-TODAY()&lt;=7,"AMBER","GREEN"))))</f>
        <v>AMBER</v>
      </c>
    </row>
    <row r="13" customFormat="false" ht="41.75" hidden="false" customHeight="false" outlineLevel="0" collapsed="false">
      <c r="A13" s="3" t="s">
        <v>132</v>
      </c>
      <c r="B13" s="3" t="n">
        <v>1</v>
      </c>
      <c r="C13" s="18" t="s">
        <v>58</v>
      </c>
      <c r="D13" s="3" t="s">
        <v>133</v>
      </c>
      <c r="E13" s="3" t="s">
        <v>134</v>
      </c>
      <c r="F13" s="18" t="s">
        <v>42</v>
      </c>
      <c r="G13" s="18" t="s">
        <v>40</v>
      </c>
      <c r="H13" s="18" t="s">
        <v>8</v>
      </c>
      <c r="I13" s="9" t="n">
        <v>46287</v>
      </c>
      <c r="J13" s="9" t="n">
        <v>46290</v>
      </c>
      <c r="K13" s="7" t="n">
        <v>0</v>
      </c>
      <c r="L13" s="3" t="s">
        <v>127</v>
      </c>
      <c r="M13" s="3" t="s">
        <v>135</v>
      </c>
      <c r="N13" s="3" t="s">
        <v>136</v>
      </c>
      <c r="O13" s="3" t="n">
        <f aca="true">IF(H13="Done",0,IF(J13&lt;TODAY(),"OVERDUE",J13-TODAY()))</f>
        <v>5</v>
      </c>
      <c r="P13" s="3" t="str">
        <f aca="true">IF(H13="Blocked","RED",IF(H13="Done","GREEN",IF(J13&lt;TODAY(),"RED",IF(J13-TODAY()&lt;=7,"AMBER","GREEN"))))</f>
        <v>AMBER</v>
      </c>
    </row>
    <row r="14" customFormat="false" ht="41.75" hidden="false" customHeight="false" outlineLevel="0" collapsed="false">
      <c r="A14" s="14" t="s">
        <v>137</v>
      </c>
      <c r="B14" s="14" t="n">
        <v>1</v>
      </c>
      <c r="C14" s="14" t="s">
        <v>60</v>
      </c>
      <c r="D14" s="14" t="s">
        <v>138</v>
      </c>
      <c r="E14" s="14" t="s">
        <v>139</v>
      </c>
      <c r="F14" s="14" t="s">
        <v>42</v>
      </c>
      <c r="G14" s="14" t="s">
        <v>40</v>
      </c>
      <c r="H14" s="14" t="s">
        <v>8</v>
      </c>
      <c r="I14" s="15" t="n">
        <v>46286</v>
      </c>
      <c r="J14" s="15" t="n">
        <v>46289</v>
      </c>
      <c r="K14" s="16" t="n">
        <v>0</v>
      </c>
      <c r="L14" s="14"/>
      <c r="M14" s="14" t="s">
        <v>140</v>
      </c>
      <c r="N14" s="14" t="s">
        <v>141</v>
      </c>
      <c r="O14" s="14" t="n">
        <f aca="true">IF(H14="Done",0,IF(J14&lt;TODAY(),"OVERDUE",J14-TODAY()))</f>
        <v>4</v>
      </c>
      <c r="P14" s="17" t="str">
        <f aca="true">IF(H14="Blocked","RED",IF(H14="Done","GREEN",IF(J14&lt;TODAY(),"RED",IF(J14-TODAY()&lt;=7,"AMBER","GREEN"))))</f>
        <v>AMBER</v>
      </c>
    </row>
    <row r="15" customFormat="false" ht="28.35" hidden="false" customHeight="false" outlineLevel="0" collapsed="false">
      <c r="A15" s="3" t="s">
        <v>142</v>
      </c>
      <c r="B15" s="3" t="n">
        <v>1</v>
      </c>
      <c r="C15" s="18" t="s">
        <v>58</v>
      </c>
      <c r="D15" s="3" t="s">
        <v>143</v>
      </c>
      <c r="E15" s="3" t="s">
        <v>144</v>
      </c>
      <c r="F15" s="18" t="s">
        <v>42</v>
      </c>
      <c r="G15" s="18" t="s">
        <v>40</v>
      </c>
      <c r="H15" s="18" t="s">
        <v>8</v>
      </c>
      <c r="I15" s="9" t="n">
        <v>46288</v>
      </c>
      <c r="J15" s="9" t="n">
        <v>46290</v>
      </c>
      <c r="K15" s="7" t="n">
        <v>0</v>
      </c>
      <c r="L15" s="3" t="s">
        <v>132</v>
      </c>
      <c r="M15" s="3" t="s">
        <v>145</v>
      </c>
      <c r="N15" s="3" t="s">
        <v>146</v>
      </c>
      <c r="O15" s="3" t="n">
        <f aca="true">IF(H15="Done",0,IF(J15&lt;TODAY(),"OVERDUE",J15-TODAY()))</f>
        <v>5</v>
      </c>
      <c r="P15" s="3" t="str">
        <f aca="true">IF(H15="Blocked","RED",IF(H15="Done","GREEN",IF(J15&lt;TODAY(),"RED",IF(J15-TODAY()&lt;=7,"AMBER","GREEN"))))</f>
        <v>AMBER</v>
      </c>
    </row>
    <row r="16" customFormat="false" ht="28.35" hidden="false" customHeight="false" outlineLevel="0" collapsed="false">
      <c r="A16" s="14" t="s">
        <v>147</v>
      </c>
      <c r="B16" s="14" t="n">
        <v>1</v>
      </c>
      <c r="C16" s="14" t="s">
        <v>58</v>
      </c>
      <c r="D16" s="14" t="s">
        <v>148</v>
      </c>
      <c r="E16" s="14" t="s">
        <v>149</v>
      </c>
      <c r="F16" s="14" t="s">
        <v>42</v>
      </c>
      <c r="G16" s="14" t="s">
        <v>43</v>
      </c>
      <c r="H16" s="14" t="s">
        <v>8</v>
      </c>
      <c r="I16" s="15" t="n">
        <v>46289</v>
      </c>
      <c r="J16" s="15" t="n">
        <v>46293</v>
      </c>
      <c r="K16" s="16" t="n">
        <v>0</v>
      </c>
      <c r="L16" s="14" t="s">
        <v>132</v>
      </c>
      <c r="M16" s="14" t="s">
        <v>150</v>
      </c>
      <c r="N16" s="14" t="s">
        <v>151</v>
      </c>
      <c r="O16" s="14" t="n">
        <f aca="true">IF(H16="Done",0,IF(J16&lt;TODAY(),"OVERDUE",J16-TODAY()))</f>
        <v>8</v>
      </c>
      <c r="P16" s="17" t="str">
        <f aca="true">IF(H16="Blocked","RED",IF(H16="Done","GREEN",IF(J16&lt;TODAY(),"RED",IF(J16-TODAY()&lt;=7,"AMBER","GREEN"))))</f>
        <v>GREEN</v>
      </c>
    </row>
    <row r="17" customFormat="false" ht="28.35" hidden="false" customHeight="false" outlineLevel="0" collapsed="false">
      <c r="A17" s="3" t="s">
        <v>152</v>
      </c>
      <c r="B17" s="3" t="n">
        <v>1</v>
      </c>
      <c r="C17" s="18" t="s">
        <v>58</v>
      </c>
      <c r="D17" s="3" t="s">
        <v>153</v>
      </c>
      <c r="E17" s="3" t="s">
        <v>154</v>
      </c>
      <c r="F17" s="18" t="s">
        <v>42</v>
      </c>
      <c r="G17" s="18" t="s">
        <v>43</v>
      </c>
      <c r="H17" s="18" t="s">
        <v>8</v>
      </c>
      <c r="I17" s="9" t="n">
        <v>46290</v>
      </c>
      <c r="J17" s="9" t="n">
        <v>46294</v>
      </c>
      <c r="K17" s="7" t="n">
        <v>0</v>
      </c>
      <c r="L17" s="3" t="s">
        <v>137</v>
      </c>
      <c r="M17" s="3" t="s">
        <v>155</v>
      </c>
      <c r="N17" s="3" t="s">
        <v>156</v>
      </c>
      <c r="O17" s="3" t="n">
        <f aca="true">IF(H17="Done",0,IF(J17&lt;TODAY(),"OVERDUE",J17-TODAY()))</f>
        <v>9</v>
      </c>
      <c r="P17" s="3" t="str">
        <f aca="true">IF(H17="Blocked","RED",IF(H17="Done","GREEN",IF(J17&lt;TODAY(),"RED",IF(J17-TODAY()&lt;=7,"AMBER","GREEN"))))</f>
        <v>GREEN</v>
      </c>
    </row>
    <row r="18" customFormat="false" ht="28.35" hidden="false" customHeight="false" outlineLevel="0" collapsed="false">
      <c r="A18" s="14" t="s">
        <v>157</v>
      </c>
      <c r="B18" s="14" t="n">
        <v>1</v>
      </c>
      <c r="C18" s="14" t="s">
        <v>58</v>
      </c>
      <c r="D18" s="14" t="s">
        <v>158</v>
      </c>
      <c r="E18" s="14" t="s">
        <v>159</v>
      </c>
      <c r="F18" s="14" t="s">
        <v>42</v>
      </c>
      <c r="G18" s="14" t="s">
        <v>43</v>
      </c>
      <c r="H18" s="14" t="s">
        <v>8</v>
      </c>
      <c r="I18" s="15" t="n">
        <v>46290</v>
      </c>
      <c r="J18" s="15" t="n">
        <v>46294</v>
      </c>
      <c r="K18" s="16" t="n">
        <v>0</v>
      </c>
      <c r="L18" s="14"/>
      <c r="M18" s="14" t="s">
        <v>160</v>
      </c>
      <c r="N18" s="14" t="s">
        <v>131</v>
      </c>
      <c r="O18" s="14" t="n">
        <f aca="true">IF(H18="Done",0,IF(J18&lt;TODAY(),"OVERDUE",J18-TODAY()))</f>
        <v>9</v>
      </c>
      <c r="P18" s="17" t="str">
        <f aca="true">IF(H18="Blocked","RED",IF(H18="Done","GREEN",IF(J18&lt;TODAY(),"RED",IF(J18-TODAY()&lt;=7,"AMBER","GREEN"))))</f>
        <v>GREEN</v>
      </c>
    </row>
    <row r="19" customFormat="false" ht="28.35" hidden="false" customHeight="false" outlineLevel="0" collapsed="false">
      <c r="A19" s="3" t="s">
        <v>161</v>
      </c>
      <c r="B19" s="3" t="n">
        <v>1</v>
      </c>
      <c r="C19" s="18" t="s">
        <v>60</v>
      </c>
      <c r="D19" s="3" t="s">
        <v>162</v>
      </c>
      <c r="E19" s="3" t="s">
        <v>163</v>
      </c>
      <c r="F19" s="18" t="s">
        <v>42</v>
      </c>
      <c r="G19" s="18" t="s">
        <v>43</v>
      </c>
      <c r="H19" s="18" t="s">
        <v>8</v>
      </c>
      <c r="I19" s="9" t="n">
        <v>46293</v>
      </c>
      <c r="J19" s="9" t="n">
        <v>46296</v>
      </c>
      <c r="K19" s="7" t="n">
        <v>0</v>
      </c>
      <c r="L19" s="3"/>
      <c r="M19" s="3" t="s">
        <v>164</v>
      </c>
      <c r="N19" s="3" t="s">
        <v>165</v>
      </c>
      <c r="O19" s="3" t="n">
        <f aca="true">IF(H19="Done",0,IF(J19&lt;TODAY(),"OVERDUE",J19-TODAY()))</f>
        <v>11</v>
      </c>
      <c r="P19" s="3" t="str">
        <f aca="true">IF(H19="Blocked","RED",IF(H19="Done","GREEN",IF(J19&lt;TODAY(),"RED",IF(J19-TODAY()&lt;=7,"AMBER","GREEN"))))</f>
        <v>GREEN</v>
      </c>
    </row>
    <row r="20" customFormat="false" ht="41.75" hidden="false" customHeight="false" outlineLevel="0" collapsed="false">
      <c r="A20" s="14" t="s">
        <v>166</v>
      </c>
      <c r="B20" s="14" t="n">
        <v>1</v>
      </c>
      <c r="C20" s="14" t="s">
        <v>58</v>
      </c>
      <c r="D20" s="14" t="s">
        <v>167</v>
      </c>
      <c r="E20" s="14" t="s">
        <v>168</v>
      </c>
      <c r="F20" s="14" t="s">
        <v>42</v>
      </c>
      <c r="G20" s="14" t="s">
        <v>43</v>
      </c>
      <c r="H20" s="14" t="s">
        <v>8</v>
      </c>
      <c r="I20" s="15" t="n">
        <v>46293</v>
      </c>
      <c r="J20" s="15" t="n">
        <v>46296</v>
      </c>
      <c r="K20" s="16" t="n">
        <v>0</v>
      </c>
      <c r="L20" s="14"/>
      <c r="M20" s="14" t="s">
        <v>169</v>
      </c>
      <c r="N20" s="14" t="s">
        <v>170</v>
      </c>
      <c r="O20" s="14" t="n">
        <f aca="true">IF(H20="Done",0,IF(J20&lt;TODAY(),"OVERDUE",J20-TODAY()))</f>
        <v>11</v>
      </c>
      <c r="P20" s="17" t="str">
        <f aca="true">IF(H20="Blocked","RED",IF(H20="Done","GREEN",IF(J20&lt;TODAY(),"RED",IF(J20-TODAY()&lt;=7,"AMBER","GREEN"))))</f>
        <v>GREEN</v>
      </c>
    </row>
    <row r="21" customFormat="false" ht="28.35" hidden="false" customHeight="false" outlineLevel="0" collapsed="false">
      <c r="A21" s="3" t="s">
        <v>171</v>
      </c>
      <c r="B21" s="3" t="n">
        <v>1</v>
      </c>
      <c r="C21" s="18" t="s">
        <v>56</v>
      </c>
      <c r="D21" s="3" t="s">
        <v>172</v>
      </c>
      <c r="E21" s="3" t="s">
        <v>173</v>
      </c>
      <c r="F21" s="18" t="s">
        <v>42</v>
      </c>
      <c r="G21" s="18" t="s">
        <v>46</v>
      </c>
      <c r="H21" s="18" t="s">
        <v>8</v>
      </c>
      <c r="I21" s="9" t="n">
        <v>46293</v>
      </c>
      <c r="J21" s="9" t="n">
        <v>46297</v>
      </c>
      <c r="K21" s="7" t="n">
        <v>0</v>
      </c>
      <c r="L21" s="3"/>
      <c r="M21" s="3" t="s">
        <v>174</v>
      </c>
      <c r="N21" s="3" t="s">
        <v>175</v>
      </c>
      <c r="O21" s="3" t="n">
        <f aca="true">IF(H21="Done",0,IF(J21&lt;TODAY(),"OVERDUE",J21-TODAY()))</f>
        <v>12</v>
      </c>
      <c r="P21" s="3" t="str">
        <f aca="true">IF(H21="Blocked","RED",IF(H21="Done","GREEN",IF(J21&lt;TODAY(),"RED",IF(J21-TODAY()&lt;=7,"AMBER","GREEN"))))</f>
        <v>GREEN</v>
      </c>
    </row>
    <row r="22" customFormat="false" ht="28.35" hidden="false" customHeight="false" outlineLevel="0" collapsed="false">
      <c r="A22" s="14" t="s">
        <v>176</v>
      </c>
      <c r="B22" s="14" t="n">
        <v>1</v>
      </c>
      <c r="C22" s="14" t="s">
        <v>60</v>
      </c>
      <c r="D22" s="14" t="s">
        <v>177</v>
      </c>
      <c r="E22" s="14" t="s">
        <v>178</v>
      </c>
      <c r="F22" s="14" t="s">
        <v>42</v>
      </c>
      <c r="G22" s="14" t="s">
        <v>43</v>
      </c>
      <c r="H22" s="14" t="s">
        <v>8</v>
      </c>
      <c r="I22" s="15" t="n">
        <v>46286</v>
      </c>
      <c r="J22" s="15" t="n">
        <v>46290</v>
      </c>
      <c r="K22" s="16" t="n">
        <v>0</v>
      </c>
      <c r="L22" s="14" t="s">
        <v>91</v>
      </c>
      <c r="M22" s="14" t="s">
        <v>179</v>
      </c>
      <c r="N22" s="14" t="s">
        <v>180</v>
      </c>
      <c r="O22" s="14" t="n">
        <f aca="true">IF(H22="Done",0,IF(J22&lt;TODAY(),"OVERDUE",J22-TODAY()))</f>
        <v>5</v>
      </c>
      <c r="P22" s="17" t="str">
        <f aca="true">IF(H22="Blocked","RED",IF(H22="Done","GREEN",IF(J22&lt;TODAY(),"RED",IF(J22-TODAY()&lt;=7,"AMBER","GREEN"))))</f>
        <v>AMBER</v>
      </c>
    </row>
    <row r="23" customFormat="false" ht="28.35" hidden="false" customHeight="false" outlineLevel="0" collapsed="false">
      <c r="A23" s="3" t="s">
        <v>181</v>
      </c>
      <c r="B23" s="3" t="n">
        <v>1</v>
      </c>
      <c r="C23" s="18" t="s">
        <v>60</v>
      </c>
      <c r="D23" s="3" t="s">
        <v>182</v>
      </c>
      <c r="E23" s="3" t="s">
        <v>183</v>
      </c>
      <c r="F23" s="18" t="s">
        <v>42</v>
      </c>
      <c r="G23" s="18" t="s">
        <v>43</v>
      </c>
      <c r="H23" s="18" t="s">
        <v>8</v>
      </c>
      <c r="I23" s="9" t="n">
        <v>46293</v>
      </c>
      <c r="J23" s="9" t="n">
        <v>46297</v>
      </c>
      <c r="K23" s="7" t="n">
        <v>0</v>
      </c>
      <c r="L23" s="3"/>
      <c r="M23" s="3" t="s">
        <v>184</v>
      </c>
      <c r="N23" s="3" t="s">
        <v>185</v>
      </c>
      <c r="O23" s="3" t="n">
        <f aca="true">IF(H23="Done",0,IF(J23&lt;TODAY(),"OVERDUE",J23-TODAY()))</f>
        <v>12</v>
      </c>
      <c r="P23" s="3" t="str">
        <f aca="true">IF(H23="Blocked","RED",IF(H23="Done","GREEN",IF(J23&lt;TODAY(),"RED",IF(J23-TODAY()&lt;=7,"AMBER","GREEN"))))</f>
        <v>GREEN</v>
      </c>
    </row>
    <row r="24" customFormat="false" ht="28.35" hidden="false" customHeight="false" outlineLevel="0" collapsed="false">
      <c r="A24" s="14" t="s">
        <v>186</v>
      </c>
      <c r="B24" s="14" t="n">
        <v>1</v>
      </c>
      <c r="C24" s="14" t="s">
        <v>58</v>
      </c>
      <c r="D24" s="14" t="s">
        <v>187</v>
      </c>
      <c r="E24" s="14" t="s">
        <v>188</v>
      </c>
      <c r="F24" s="14" t="s">
        <v>42</v>
      </c>
      <c r="G24" s="14" t="s">
        <v>46</v>
      </c>
      <c r="H24" s="14" t="s">
        <v>8</v>
      </c>
      <c r="I24" s="15" t="n">
        <v>46294</v>
      </c>
      <c r="J24" s="15" t="n">
        <v>46297</v>
      </c>
      <c r="K24" s="16" t="n">
        <v>0</v>
      </c>
      <c r="L24" s="14" t="s">
        <v>152</v>
      </c>
      <c r="M24" s="14" t="s">
        <v>189</v>
      </c>
      <c r="N24" s="14" t="s">
        <v>190</v>
      </c>
      <c r="O24" s="14" t="n">
        <f aca="true">IF(H24="Done",0,IF(J24&lt;TODAY(),"OVERDUE",J24-TODAY()))</f>
        <v>12</v>
      </c>
      <c r="P24" s="17" t="str">
        <f aca="true">IF(H24="Blocked","RED",IF(H24="Done","GREEN",IF(J24&lt;TODAY(),"RED",IF(J24-TODAY()&lt;=7,"AMBER","GREEN"))))</f>
        <v>GREEN</v>
      </c>
    </row>
    <row r="25" customFormat="false" ht="28.35" hidden="false" customHeight="false" outlineLevel="0" collapsed="false">
      <c r="A25" s="3" t="s">
        <v>191</v>
      </c>
      <c r="B25" s="3" t="n">
        <v>1</v>
      </c>
      <c r="C25" s="18" t="s">
        <v>47</v>
      </c>
      <c r="D25" s="3" t="s">
        <v>192</v>
      </c>
      <c r="E25" s="3" t="s">
        <v>193</v>
      </c>
      <c r="F25" s="18" t="s">
        <v>45</v>
      </c>
      <c r="G25" s="18" t="s">
        <v>43</v>
      </c>
      <c r="H25" s="18" t="s">
        <v>8</v>
      </c>
      <c r="I25" s="9" t="n">
        <v>46289</v>
      </c>
      <c r="J25" s="9" t="n">
        <v>46293</v>
      </c>
      <c r="K25" s="7" t="n">
        <v>0</v>
      </c>
      <c r="L25" s="3" t="s">
        <v>91</v>
      </c>
      <c r="M25" s="3" t="s">
        <v>194</v>
      </c>
      <c r="N25" s="3" t="s">
        <v>195</v>
      </c>
      <c r="O25" s="3" t="n">
        <f aca="true">IF(H25="Done",0,IF(J25&lt;TODAY(),"OVERDUE",J25-TODAY()))</f>
        <v>8</v>
      </c>
      <c r="P25" s="3" t="str">
        <f aca="true">IF(H25="Blocked","RED",IF(H25="Done","GREEN",IF(J25&lt;TODAY(),"RED",IF(J25-TODAY()&lt;=7,"AMBER","GREEN"))))</f>
        <v>GREEN</v>
      </c>
    </row>
    <row r="26" customFormat="false" ht="28.35" hidden="false" customHeight="false" outlineLevel="0" collapsed="false">
      <c r="A26" s="14" t="s">
        <v>196</v>
      </c>
      <c r="B26" s="14" t="n">
        <v>1</v>
      </c>
      <c r="C26" s="14" t="s">
        <v>58</v>
      </c>
      <c r="D26" s="14" t="s">
        <v>197</v>
      </c>
      <c r="E26" s="14" t="s">
        <v>198</v>
      </c>
      <c r="F26" s="14" t="s">
        <v>45</v>
      </c>
      <c r="G26" s="14" t="s">
        <v>43</v>
      </c>
      <c r="H26" s="14" t="s">
        <v>8</v>
      </c>
      <c r="I26" s="15" t="n">
        <v>46290</v>
      </c>
      <c r="J26" s="15" t="n">
        <v>46294</v>
      </c>
      <c r="K26" s="16" t="n">
        <v>0</v>
      </c>
      <c r="L26" s="14" t="s">
        <v>191</v>
      </c>
      <c r="M26" s="14" t="s">
        <v>199</v>
      </c>
      <c r="N26" s="14" t="s">
        <v>200</v>
      </c>
      <c r="O26" s="14" t="n">
        <f aca="true">IF(H26="Done",0,IF(J26&lt;TODAY(),"OVERDUE",J26-TODAY()))</f>
        <v>9</v>
      </c>
      <c r="P26" s="17" t="str">
        <f aca="true">IF(H26="Blocked","RED",IF(H26="Done","GREEN",IF(J26&lt;TODAY(),"RED",IF(J26-TODAY()&lt;=7,"AMBER","GREEN"))))</f>
        <v>GREEN</v>
      </c>
    </row>
    <row r="27" customFormat="false" ht="28.35" hidden="false" customHeight="false" outlineLevel="0" collapsed="false">
      <c r="A27" s="3" t="s">
        <v>201</v>
      </c>
      <c r="B27" s="3" t="n">
        <v>1</v>
      </c>
      <c r="C27" s="18" t="s">
        <v>60</v>
      </c>
      <c r="D27" s="3" t="s">
        <v>202</v>
      </c>
      <c r="E27" s="3" t="s">
        <v>203</v>
      </c>
      <c r="F27" s="18" t="s">
        <v>45</v>
      </c>
      <c r="G27" s="18" t="s">
        <v>43</v>
      </c>
      <c r="H27" s="18" t="s">
        <v>8</v>
      </c>
      <c r="I27" s="9" t="n">
        <v>46287</v>
      </c>
      <c r="J27" s="9" t="n">
        <v>46289</v>
      </c>
      <c r="K27" s="7" t="n">
        <v>0</v>
      </c>
      <c r="L27" s="3"/>
      <c r="M27" s="3" t="s">
        <v>204</v>
      </c>
      <c r="N27" s="3" t="s">
        <v>205</v>
      </c>
      <c r="O27" s="3" t="n">
        <f aca="true">IF(H27="Done",0,IF(J27&lt;TODAY(),"OVERDUE",J27-TODAY()))</f>
        <v>4</v>
      </c>
      <c r="P27" s="3" t="str">
        <f aca="true">IF(H27="Blocked","RED",IF(H27="Done","GREEN",IF(J27&lt;TODAY(),"RED",IF(J27-TODAY()&lt;=7,"AMBER","GREEN"))))</f>
        <v>AMBER</v>
      </c>
    </row>
    <row r="28" customFormat="false" ht="28.35" hidden="false" customHeight="false" outlineLevel="0" collapsed="false">
      <c r="A28" s="14" t="s">
        <v>206</v>
      </c>
      <c r="B28" s="14" t="n">
        <v>1</v>
      </c>
      <c r="C28" s="14" t="s">
        <v>60</v>
      </c>
      <c r="D28" s="14" t="s">
        <v>207</v>
      </c>
      <c r="E28" s="14" t="s">
        <v>208</v>
      </c>
      <c r="F28" s="14" t="s">
        <v>45</v>
      </c>
      <c r="G28" s="14" t="s">
        <v>43</v>
      </c>
      <c r="H28" s="14" t="s">
        <v>8</v>
      </c>
      <c r="I28" s="15" t="n">
        <v>46293</v>
      </c>
      <c r="J28" s="15" t="n">
        <v>46296</v>
      </c>
      <c r="K28" s="16" t="n">
        <v>0</v>
      </c>
      <c r="L28" s="14" t="s">
        <v>191</v>
      </c>
      <c r="M28" s="14" t="s">
        <v>209</v>
      </c>
      <c r="N28" s="14" t="s">
        <v>210</v>
      </c>
      <c r="O28" s="14" t="n">
        <f aca="true">IF(H28="Done",0,IF(J28&lt;TODAY(),"OVERDUE",J28-TODAY()))</f>
        <v>11</v>
      </c>
      <c r="P28" s="17" t="str">
        <f aca="true">IF(H28="Blocked","RED",IF(H28="Done","GREEN",IF(J28&lt;TODAY(),"RED",IF(J28-TODAY()&lt;=7,"AMBER","GREEN"))))</f>
        <v>GREEN</v>
      </c>
    </row>
    <row r="29" customFormat="false" ht="28.35" hidden="false" customHeight="false" outlineLevel="0" collapsed="false">
      <c r="A29" s="3" t="s">
        <v>211</v>
      </c>
      <c r="B29" s="3" t="n">
        <v>1</v>
      </c>
      <c r="C29" s="18" t="s">
        <v>58</v>
      </c>
      <c r="D29" s="3" t="s">
        <v>212</v>
      </c>
      <c r="E29" s="3" t="s">
        <v>213</v>
      </c>
      <c r="F29" s="18" t="s">
        <v>42</v>
      </c>
      <c r="G29" s="18" t="s">
        <v>40</v>
      </c>
      <c r="H29" s="18" t="s">
        <v>8</v>
      </c>
      <c r="I29" s="9" t="n">
        <v>46297</v>
      </c>
      <c r="J29" s="9" t="n">
        <v>46297</v>
      </c>
      <c r="K29" s="7" t="n">
        <v>0</v>
      </c>
      <c r="L29" s="3" t="s">
        <v>214</v>
      </c>
      <c r="M29" s="3" t="s">
        <v>215</v>
      </c>
      <c r="N29" s="3" t="s">
        <v>216</v>
      </c>
      <c r="O29" s="3" t="n">
        <f aca="true">IF(H29="Done",0,IF(J29&lt;TODAY(),"OVERDUE",J29-TODAY()))</f>
        <v>12</v>
      </c>
      <c r="P29" s="3" t="str">
        <f aca="true">IF(H29="Blocked","RED",IF(H29="Done","GREEN",IF(J29&lt;TODAY(),"RED",IF(J29-TODAY()&lt;=7,"AMBER","GREEN"))))</f>
        <v>GREEN</v>
      </c>
    </row>
    <row r="30" customFormat="false" ht="28.35" hidden="false" customHeight="false" outlineLevel="0" collapsed="false">
      <c r="A30" s="14" t="s">
        <v>217</v>
      </c>
      <c r="B30" s="14" t="n">
        <v>2</v>
      </c>
      <c r="C30" s="14" t="s">
        <v>50</v>
      </c>
      <c r="D30" s="14" t="s">
        <v>218</v>
      </c>
      <c r="E30" s="14" t="s">
        <v>219</v>
      </c>
      <c r="F30" s="14" t="s">
        <v>45</v>
      </c>
      <c r="G30" s="14" t="s">
        <v>40</v>
      </c>
      <c r="H30" s="14" t="s">
        <v>8</v>
      </c>
      <c r="I30" s="15" t="n">
        <v>46300</v>
      </c>
      <c r="J30" s="15" t="n">
        <v>46300</v>
      </c>
      <c r="K30" s="16" t="n">
        <v>0</v>
      </c>
      <c r="L30" s="14" t="s">
        <v>211</v>
      </c>
      <c r="M30" s="14" t="s">
        <v>220</v>
      </c>
      <c r="N30" s="14" t="s">
        <v>221</v>
      </c>
      <c r="O30" s="14" t="n">
        <f aca="true">IF(H30="Done",0,IF(J30&lt;TODAY(),"OVERDUE",J30-TODAY()))</f>
        <v>15</v>
      </c>
      <c r="P30" s="17" t="str">
        <f aca="true">IF(H30="Blocked","RED",IF(H30="Done","GREEN",IF(J30&lt;TODAY(),"RED",IF(J30-TODAY()&lt;=7,"AMBER","GREEN"))))</f>
        <v>GREEN</v>
      </c>
    </row>
    <row r="31" customFormat="false" ht="28.35" hidden="false" customHeight="false" outlineLevel="0" collapsed="false">
      <c r="A31" s="3" t="s">
        <v>222</v>
      </c>
      <c r="B31" s="3" t="n">
        <v>2</v>
      </c>
      <c r="C31" s="18" t="s">
        <v>50</v>
      </c>
      <c r="D31" s="3" t="s">
        <v>223</v>
      </c>
      <c r="E31" s="3" t="s">
        <v>224</v>
      </c>
      <c r="F31" s="18" t="s">
        <v>42</v>
      </c>
      <c r="G31" s="18" t="s">
        <v>40</v>
      </c>
      <c r="H31" s="18" t="s">
        <v>8</v>
      </c>
      <c r="I31" s="9" t="n">
        <v>46301</v>
      </c>
      <c r="J31" s="9" t="n">
        <v>46301</v>
      </c>
      <c r="K31" s="7" t="n">
        <v>0</v>
      </c>
      <c r="L31" s="3" t="s">
        <v>217</v>
      </c>
      <c r="M31" s="3" t="s">
        <v>225</v>
      </c>
      <c r="N31" s="3" t="s">
        <v>226</v>
      </c>
      <c r="O31" s="3" t="n">
        <f aca="true">IF(H31="Done",0,IF(J31&lt;TODAY(),"OVERDUE",J31-TODAY()))</f>
        <v>16</v>
      </c>
      <c r="P31" s="3" t="str">
        <f aca="true">IF(H31="Blocked","RED",IF(H31="Done","GREEN",IF(J31&lt;TODAY(),"RED",IF(J31-TODAY()&lt;=7,"AMBER","GREEN"))))</f>
        <v>GREEN</v>
      </c>
    </row>
    <row r="32" customFormat="false" ht="28.35" hidden="false" customHeight="false" outlineLevel="0" collapsed="false">
      <c r="A32" s="14" t="s">
        <v>227</v>
      </c>
      <c r="B32" s="14" t="n">
        <v>2</v>
      </c>
      <c r="C32" s="14" t="s">
        <v>50</v>
      </c>
      <c r="D32" s="14" t="s">
        <v>228</v>
      </c>
      <c r="E32" s="14" t="s">
        <v>229</v>
      </c>
      <c r="F32" s="14" t="s">
        <v>45</v>
      </c>
      <c r="G32" s="14" t="s">
        <v>40</v>
      </c>
      <c r="H32" s="14" t="s">
        <v>8</v>
      </c>
      <c r="I32" s="15" t="n">
        <v>46300</v>
      </c>
      <c r="J32" s="15" t="n">
        <v>46301</v>
      </c>
      <c r="K32" s="16" t="n">
        <v>0</v>
      </c>
      <c r="L32" s="14" t="s">
        <v>217</v>
      </c>
      <c r="M32" s="14" t="s">
        <v>230</v>
      </c>
      <c r="N32" s="14" t="s">
        <v>231</v>
      </c>
      <c r="O32" s="14" t="n">
        <f aca="true">IF(H32="Done",0,IF(J32&lt;TODAY(),"OVERDUE",J32-TODAY()))</f>
        <v>16</v>
      </c>
      <c r="P32" s="17" t="str">
        <f aca="true">IF(H32="Blocked","RED",IF(H32="Done","GREEN",IF(J32&lt;TODAY(),"RED",IF(J32-TODAY()&lt;=7,"AMBER","GREEN"))))</f>
        <v>GREEN</v>
      </c>
    </row>
    <row r="33" customFormat="false" ht="28.35" hidden="false" customHeight="false" outlineLevel="0" collapsed="false">
      <c r="A33" s="3" t="s">
        <v>232</v>
      </c>
      <c r="B33" s="3" t="n">
        <v>2</v>
      </c>
      <c r="C33" s="18" t="s">
        <v>47</v>
      </c>
      <c r="D33" s="3" t="s">
        <v>233</v>
      </c>
      <c r="E33" s="3" t="s">
        <v>234</v>
      </c>
      <c r="F33" s="18" t="s">
        <v>45</v>
      </c>
      <c r="G33" s="18" t="s">
        <v>40</v>
      </c>
      <c r="H33" s="18" t="s">
        <v>8</v>
      </c>
      <c r="I33" s="9" t="n">
        <v>46301</v>
      </c>
      <c r="J33" s="9" t="n">
        <v>46303</v>
      </c>
      <c r="K33" s="7" t="n">
        <v>0</v>
      </c>
      <c r="L33" s="3" t="s">
        <v>227</v>
      </c>
      <c r="M33" s="3" t="s">
        <v>235</v>
      </c>
      <c r="N33" s="3" t="s">
        <v>231</v>
      </c>
      <c r="O33" s="3" t="n">
        <f aca="true">IF(H33="Done",0,IF(J33&lt;TODAY(),"OVERDUE",J33-TODAY()))</f>
        <v>18</v>
      </c>
      <c r="P33" s="3" t="str">
        <f aca="true">IF(H33="Blocked","RED",IF(H33="Done","GREEN",IF(J33&lt;TODAY(),"RED",IF(J33-TODAY()&lt;=7,"AMBER","GREEN"))))</f>
        <v>GREEN</v>
      </c>
    </row>
    <row r="34" customFormat="false" ht="28.35" hidden="false" customHeight="false" outlineLevel="0" collapsed="false">
      <c r="A34" s="14" t="s">
        <v>236</v>
      </c>
      <c r="B34" s="14" t="n">
        <v>2</v>
      </c>
      <c r="C34" s="14" t="s">
        <v>47</v>
      </c>
      <c r="D34" s="14" t="s">
        <v>237</v>
      </c>
      <c r="E34" s="14" t="s">
        <v>238</v>
      </c>
      <c r="F34" s="14" t="s">
        <v>45</v>
      </c>
      <c r="G34" s="14" t="s">
        <v>43</v>
      </c>
      <c r="H34" s="14" t="s">
        <v>8</v>
      </c>
      <c r="I34" s="15" t="n">
        <v>46302</v>
      </c>
      <c r="J34" s="15" t="n">
        <v>46303</v>
      </c>
      <c r="K34" s="16" t="n">
        <v>0</v>
      </c>
      <c r="L34" s="14" t="s">
        <v>232</v>
      </c>
      <c r="M34" s="14" t="s">
        <v>239</v>
      </c>
      <c r="N34" s="14"/>
      <c r="O34" s="14" t="n">
        <f aca="true">IF(H34="Done",0,IF(J34&lt;TODAY(),"OVERDUE",J34-TODAY()))</f>
        <v>18</v>
      </c>
      <c r="P34" s="17" t="str">
        <f aca="true">IF(H34="Blocked","RED",IF(H34="Done","GREEN",IF(J34&lt;TODAY(),"RED",IF(J34-TODAY()&lt;=7,"AMBER","GREEN"))))</f>
        <v>GREEN</v>
      </c>
    </row>
    <row r="35" customFormat="false" ht="28.35" hidden="false" customHeight="false" outlineLevel="0" collapsed="false">
      <c r="A35" s="3" t="s">
        <v>240</v>
      </c>
      <c r="B35" s="3" t="n">
        <v>2</v>
      </c>
      <c r="C35" s="18" t="s">
        <v>60</v>
      </c>
      <c r="D35" s="3" t="s">
        <v>241</v>
      </c>
      <c r="E35" s="3" t="s">
        <v>242</v>
      </c>
      <c r="F35" s="18" t="s">
        <v>45</v>
      </c>
      <c r="G35" s="18" t="s">
        <v>40</v>
      </c>
      <c r="H35" s="18" t="s">
        <v>8</v>
      </c>
      <c r="I35" s="9" t="n">
        <v>46303</v>
      </c>
      <c r="J35" s="9" t="n">
        <v>46304</v>
      </c>
      <c r="K35" s="7" t="n">
        <v>0</v>
      </c>
      <c r="L35" s="3" t="s">
        <v>236</v>
      </c>
      <c r="M35" s="3" t="s">
        <v>243</v>
      </c>
      <c r="N35" s="3" t="s">
        <v>244</v>
      </c>
      <c r="O35" s="3" t="n">
        <f aca="true">IF(H35="Done",0,IF(J35&lt;TODAY(),"OVERDUE",J35-TODAY()))</f>
        <v>19</v>
      </c>
      <c r="P35" s="3" t="str">
        <f aca="true">IF(H35="Blocked","RED",IF(H35="Done","GREEN",IF(J35&lt;TODAY(),"RED",IF(J35-TODAY()&lt;=7,"AMBER","GREEN"))))</f>
        <v>GREEN</v>
      </c>
    </row>
    <row r="36" customFormat="false" ht="28.35" hidden="false" customHeight="false" outlineLevel="0" collapsed="false">
      <c r="A36" s="14" t="s">
        <v>245</v>
      </c>
      <c r="B36" s="14" t="n">
        <v>2</v>
      </c>
      <c r="C36" s="14" t="s">
        <v>60</v>
      </c>
      <c r="D36" s="14" t="s">
        <v>246</v>
      </c>
      <c r="E36" s="14" t="s">
        <v>247</v>
      </c>
      <c r="F36" s="14" t="s">
        <v>57</v>
      </c>
      <c r="G36" s="14" t="s">
        <v>40</v>
      </c>
      <c r="H36" s="14" t="s">
        <v>8</v>
      </c>
      <c r="I36" s="15" t="n">
        <v>46304</v>
      </c>
      <c r="J36" s="15" t="n">
        <v>46304</v>
      </c>
      <c r="K36" s="16" t="n">
        <v>0</v>
      </c>
      <c r="L36" s="14" t="s">
        <v>240</v>
      </c>
      <c r="M36" s="14" t="s">
        <v>248</v>
      </c>
      <c r="N36" s="14" t="s">
        <v>249</v>
      </c>
      <c r="O36" s="14" t="n">
        <f aca="true">IF(H36="Done",0,IF(J36&lt;TODAY(),"OVERDUE",J36-TODAY()))</f>
        <v>19</v>
      </c>
      <c r="P36" s="17" t="str">
        <f aca="true">IF(H36="Blocked","RED",IF(H36="Done","GREEN",IF(J36&lt;TODAY(),"RED",IF(J36-TODAY()&lt;=7,"AMBER","GREEN"))))</f>
        <v>GREEN</v>
      </c>
    </row>
    <row r="37" customFormat="false" ht="28.35" hidden="false" customHeight="false" outlineLevel="0" collapsed="false">
      <c r="A37" s="3" t="s">
        <v>250</v>
      </c>
      <c r="B37" s="3" t="n">
        <v>3</v>
      </c>
      <c r="C37" s="18" t="s">
        <v>52</v>
      </c>
      <c r="D37" s="3" t="s">
        <v>251</v>
      </c>
      <c r="E37" s="3" t="s">
        <v>252</v>
      </c>
      <c r="F37" s="18" t="s">
        <v>45</v>
      </c>
      <c r="G37" s="18" t="s">
        <v>43</v>
      </c>
      <c r="H37" s="18" t="s">
        <v>8</v>
      </c>
      <c r="I37" s="9" t="n">
        <v>46307</v>
      </c>
      <c r="J37" s="9" t="n">
        <v>46308</v>
      </c>
      <c r="K37" s="7" t="n">
        <v>0</v>
      </c>
      <c r="L37" s="3" t="s">
        <v>245</v>
      </c>
      <c r="M37" s="3" t="s">
        <v>253</v>
      </c>
      <c r="N37" s="3" t="s">
        <v>254</v>
      </c>
      <c r="O37" s="3" t="n">
        <f aca="true">IF(H37="Done",0,IF(J37&lt;TODAY(),"OVERDUE",J37-TODAY()))</f>
        <v>23</v>
      </c>
      <c r="P37" s="3" t="str">
        <f aca="true">IF(H37="Blocked","RED",IF(H37="Done","GREEN",IF(J37&lt;TODAY(),"RED",IF(J37-TODAY()&lt;=7,"AMBER","GREEN"))))</f>
        <v>GREEN</v>
      </c>
    </row>
    <row r="38" customFormat="false" ht="28.35" hidden="false" customHeight="false" outlineLevel="0" collapsed="false">
      <c r="A38" s="14" t="s">
        <v>255</v>
      </c>
      <c r="B38" s="14" t="n">
        <v>3</v>
      </c>
      <c r="C38" s="14" t="s">
        <v>47</v>
      </c>
      <c r="D38" s="14" t="s">
        <v>256</v>
      </c>
      <c r="E38" s="14" t="s">
        <v>257</v>
      </c>
      <c r="F38" s="14" t="s">
        <v>45</v>
      </c>
      <c r="G38" s="14" t="s">
        <v>40</v>
      </c>
      <c r="H38" s="14" t="s">
        <v>8</v>
      </c>
      <c r="I38" s="15" t="n">
        <v>46307</v>
      </c>
      <c r="J38" s="15" t="n">
        <v>46309</v>
      </c>
      <c r="K38" s="16" t="n">
        <v>0</v>
      </c>
      <c r="L38" s="14" t="s">
        <v>245</v>
      </c>
      <c r="M38" s="14" t="s">
        <v>258</v>
      </c>
      <c r="N38" s="14"/>
      <c r="O38" s="14" t="n">
        <f aca="true">IF(H38="Done",0,IF(J38&lt;TODAY(),"OVERDUE",J38-TODAY()))</f>
        <v>24</v>
      </c>
      <c r="P38" s="17" t="str">
        <f aca="true">IF(H38="Blocked","RED",IF(H38="Done","GREEN",IF(J38&lt;TODAY(),"RED",IF(J38-TODAY()&lt;=7,"AMBER","GREEN"))))</f>
        <v>GREEN</v>
      </c>
    </row>
    <row r="39" customFormat="false" ht="28.35" hidden="false" customHeight="false" outlineLevel="0" collapsed="false">
      <c r="A39" s="3" t="s">
        <v>259</v>
      </c>
      <c r="B39" s="3" t="n">
        <v>3</v>
      </c>
      <c r="C39" s="18" t="s">
        <v>47</v>
      </c>
      <c r="D39" s="3" t="s">
        <v>260</v>
      </c>
      <c r="E39" s="3" t="s">
        <v>261</v>
      </c>
      <c r="F39" s="18" t="s">
        <v>45</v>
      </c>
      <c r="G39" s="18" t="s">
        <v>40</v>
      </c>
      <c r="H39" s="18" t="s">
        <v>8</v>
      </c>
      <c r="I39" s="9" t="n">
        <v>46308</v>
      </c>
      <c r="J39" s="9" t="n">
        <v>46309</v>
      </c>
      <c r="K39" s="7" t="n">
        <v>0</v>
      </c>
      <c r="L39" s="3" t="s">
        <v>255</v>
      </c>
      <c r="M39" s="3" t="s">
        <v>262</v>
      </c>
      <c r="N39" s="3"/>
      <c r="O39" s="3" t="n">
        <f aca="true">IF(H39="Done",0,IF(J39&lt;TODAY(),"OVERDUE",J39-TODAY()))</f>
        <v>24</v>
      </c>
      <c r="P39" s="3" t="str">
        <f aca="true">IF(H39="Blocked","RED",IF(H39="Done","GREEN",IF(J39&lt;TODAY(),"RED",IF(J39-TODAY()&lt;=7,"AMBER","GREEN"))))</f>
        <v>GREEN</v>
      </c>
    </row>
    <row r="40" customFormat="false" ht="41.75" hidden="false" customHeight="false" outlineLevel="0" collapsed="false">
      <c r="A40" s="14" t="s">
        <v>263</v>
      </c>
      <c r="B40" s="14" t="n">
        <v>3</v>
      </c>
      <c r="C40" s="14" t="s">
        <v>60</v>
      </c>
      <c r="D40" s="14" t="s">
        <v>264</v>
      </c>
      <c r="E40" s="14" t="s">
        <v>265</v>
      </c>
      <c r="F40" s="14" t="s">
        <v>45</v>
      </c>
      <c r="G40" s="14" t="s">
        <v>40</v>
      </c>
      <c r="H40" s="14" t="s">
        <v>8</v>
      </c>
      <c r="I40" s="15" t="n">
        <v>46309</v>
      </c>
      <c r="J40" s="15" t="n">
        <v>46310</v>
      </c>
      <c r="K40" s="16" t="n">
        <v>0</v>
      </c>
      <c r="L40" s="14" t="s">
        <v>259</v>
      </c>
      <c r="M40" s="14" t="s">
        <v>262</v>
      </c>
      <c r="N40" s="14" t="s">
        <v>231</v>
      </c>
      <c r="O40" s="14" t="n">
        <f aca="true">IF(H40="Done",0,IF(J40&lt;TODAY(),"OVERDUE",J40-TODAY()))</f>
        <v>25</v>
      </c>
      <c r="P40" s="17" t="str">
        <f aca="true">IF(H40="Blocked","RED",IF(H40="Done","GREEN",IF(J40&lt;TODAY(),"RED",IF(J40-TODAY()&lt;=7,"AMBER","GREEN"))))</f>
        <v>GREEN</v>
      </c>
    </row>
    <row r="41" customFormat="false" ht="28.35" hidden="false" customHeight="false" outlineLevel="0" collapsed="false">
      <c r="A41" s="3" t="s">
        <v>266</v>
      </c>
      <c r="B41" s="3" t="n">
        <v>3</v>
      </c>
      <c r="C41" s="18" t="s">
        <v>47</v>
      </c>
      <c r="D41" s="3" t="s">
        <v>267</v>
      </c>
      <c r="E41" s="3" t="s">
        <v>268</v>
      </c>
      <c r="F41" s="18" t="s">
        <v>45</v>
      </c>
      <c r="G41" s="18" t="s">
        <v>40</v>
      </c>
      <c r="H41" s="18" t="s">
        <v>8</v>
      </c>
      <c r="I41" s="9" t="n">
        <v>46309</v>
      </c>
      <c r="J41" s="9" t="n">
        <v>46310</v>
      </c>
      <c r="K41" s="7" t="n">
        <v>0</v>
      </c>
      <c r="L41" s="3" t="s">
        <v>255</v>
      </c>
      <c r="M41" s="3" t="s">
        <v>269</v>
      </c>
      <c r="N41" s="3"/>
      <c r="O41" s="3" t="n">
        <f aca="true">IF(H41="Done",0,IF(J41&lt;TODAY(),"OVERDUE",J41-TODAY()))</f>
        <v>25</v>
      </c>
      <c r="P41" s="3" t="str">
        <f aca="true">IF(H41="Blocked","RED",IF(H41="Done","GREEN",IF(J41&lt;TODAY(),"RED",IF(J41-TODAY()&lt;=7,"AMBER","GREEN"))))</f>
        <v>GREEN</v>
      </c>
    </row>
    <row r="42" customFormat="false" ht="28.35" hidden="false" customHeight="false" outlineLevel="0" collapsed="false">
      <c r="A42" s="14" t="s">
        <v>270</v>
      </c>
      <c r="B42" s="14" t="n">
        <v>3</v>
      </c>
      <c r="C42" s="14" t="s">
        <v>60</v>
      </c>
      <c r="D42" s="14" t="s">
        <v>271</v>
      </c>
      <c r="E42" s="14" t="s">
        <v>272</v>
      </c>
      <c r="F42" s="14" t="s">
        <v>42</v>
      </c>
      <c r="G42" s="14" t="s">
        <v>40</v>
      </c>
      <c r="H42" s="14" t="s">
        <v>8</v>
      </c>
      <c r="I42" s="15" t="n">
        <v>46311</v>
      </c>
      <c r="J42" s="15" t="n">
        <v>46311</v>
      </c>
      <c r="K42" s="16" t="n">
        <v>0</v>
      </c>
      <c r="L42" s="14" t="s">
        <v>273</v>
      </c>
      <c r="M42" s="14" t="s">
        <v>274</v>
      </c>
      <c r="N42" s="14" t="s">
        <v>275</v>
      </c>
      <c r="O42" s="14" t="n">
        <f aca="true">IF(H42="Done",0,IF(J42&lt;TODAY(),"OVERDUE",J42-TODAY()))</f>
        <v>26</v>
      </c>
      <c r="P42" s="17" t="str">
        <f aca="true">IF(H42="Blocked","RED",IF(H42="Done","GREEN",IF(J42&lt;TODAY(),"RED",IF(J42-TODAY()&lt;=7,"AMBER","GREEN"))))</f>
        <v>GREEN</v>
      </c>
    </row>
    <row r="43" customFormat="false" ht="28.35" hidden="false" customHeight="false" outlineLevel="0" collapsed="false">
      <c r="A43" s="3" t="s">
        <v>276</v>
      </c>
      <c r="B43" s="3" t="n">
        <v>3</v>
      </c>
      <c r="C43" s="18" t="s">
        <v>60</v>
      </c>
      <c r="D43" s="3" t="s">
        <v>277</v>
      </c>
      <c r="E43" s="3" t="s">
        <v>278</v>
      </c>
      <c r="F43" s="18" t="s">
        <v>57</v>
      </c>
      <c r="G43" s="18" t="s">
        <v>40</v>
      </c>
      <c r="H43" s="18" t="s">
        <v>8</v>
      </c>
      <c r="I43" s="9" t="n">
        <v>46311</v>
      </c>
      <c r="J43" s="9" t="n">
        <v>46311</v>
      </c>
      <c r="K43" s="7" t="n">
        <v>0</v>
      </c>
      <c r="L43" s="3" t="s">
        <v>270</v>
      </c>
      <c r="M43" s="3" t="s">
        <v>248</v>
      </c>
      <c r="N43" s="3"/>
      <c r="O43" s="3" t="n">
        <f aca="true">IF(H43="Done",0,IF(J43&lt;TODAY(),"OVERDUE",J43-TODAY()))</f>
        <v>26</v>
      </c>
      <c r="P43" s="3" t="str">
        <f aca="true">IF(H43="Blocked","RED",IF(H43="Done","GREEN",IF(J43&lt;TODAY(),"RED",IF(J43-TODAY()&lt;=7,"AMBER","GREEN"))))</f>
        <v>GREEN</v>
      </c>
    </row>
    <row r="44" customFormat="false" ht="28.35" hidden="false" customHeight="false" outlineLevel="0" collapsed="false">
      <c r="A44" s="14" t="s">
        <v>279</v>
      </c>
      <c r="B44" s="14" t="n">
        <v>4</v>
      </c>
      <c r="C44" s="14" t="s">
        <v>47</v>
      </c>
      <c r="D44" s="14" t="s">
        <v>280</v>
      </c>
      <c r="E44" s="14" t="s">
        <v>281</v>
      </c>
      <c r="F44" s="14" t="s">
        <v>45</v>
      </c>
      <c r="G44" s="14" t="s">
        <v>43</v>
      </c>
      <c r="H44" s="14" t="s">
        <v>8</v>
      </c>
      <c r="I44" s="15" t="n">
        <v>46314</v>
      </c>
      <c r="J44" s="15" t="n">
        <v>46315</v>
      </c>
      <c r="K44" s="16" t="n">
        <v>0</v>
      </c>
      <c r="L44" s="14" t="s">
        <v>276</v>
      </c>
      <c r="M44" s="14" t="s">
        <v>282</v>
      </c>
      <c r="N44" s="14"/>
      <c r="O44" s="14" t="n">
        <f aca="true">IF(H44="Done",0,IF(J44&lt;TODAY(),"OVERDUE",J44-TODAY()))</f>
        <v>30</v>
      </c>
      <c r="P44" s="17" t="str">
        <f aca="true">IF(H44="Blocked","RED",IF(H44="Done","GREEN",IF(J44&lt;TODAY(),"RED",IF(J44-TODAY()&lt;=7,"AMBER","GREEN"))))</f>
        <v>GREEN</v>
      </c>
    </row>
    <row r="45" customFormat="false" ht="28.35" hidden="false" customHeight="false" outlineLevel="0" collapsed="false">
      <c r="A45" s="3" t="s">
        <v>283</v>
      </c>
      <c r="B45" s="3" t="n">
        <v>4</v>
      </c>
      <c r="C45" s="18" t="s">
        <v>47</v>
      </c>
      <c r="D45" s="3" t="s">
        <v>284</v>
      </c>
      <c r="E45" s="3" t="s">
        <v>285</v>
      </c>
      <c r="F45" s="18" t="s">
        <v>45</v>
      </c>
      <c r="G45" s="18" t="s">
        <v>43</v>
      </c>
      <c r="H45" s="18" t="s">
        <v>8</v>
      </c>
      <c r="I45" s="9" t="n">
        <v>46315</v>
      </c>
      <c r="J45" s="9" t="n">
        <v>46316</v>
      </c>
      <c r="K45" s="7" t="n">
        <v>0</v>
      </c>
      <c r="L45" s="3" t="s">
        <v>279</v>
      </c>
      <c r="M45" s="3" t="s">
        <v>286</v>
      </c>
      <c r="N45" s="3"/>
      <c r="O45" s="3" t="n">
        <f aca="true">IF(H45="Done",0,IF(J45&lt;TODAY(),"OVERDUE",J45-TODAY()))</f>
        <v>31</v>
      </c>
      <c r="P45" s="3" t="str">
        <f aca="true">IF(H45="Blocked","RED",IF(H45="Done","GREEN",IF(J45&lt;TODAY(),"RED",IF(J45-TODAY()&lt;=7,"AMBER","GREEN"))))</f>
        <v>GREEN</v>
      </c>
    </row>
    <row r="46" customFormat="false" ht="28.35" hidden="false" customHeight="false" outlineLevel="0" collapsed="false">
      <c r="A46" s="14" t="s">
        <v>287</v>
      </c>
      <c r="B46" s="14" t="n">
        <v>4</v>
      </c>
      <c r="C46" s="14" t="s">
        <v>52</v>
      </c>
      <c r="D46" s="14" t="s">
        <v>288</v>
      </c>
      <c r="E46" s="14" t="s">
        <v>289</v>
      </c>
      <c r="F46" s="14" t="s">
        <v>45</v>
      </c>
      <c r="G46" s="14" t="s">
        <v>43</v>
      </c>
      <c r="H46" s="14" t="s">
        <v>8</v>
      </c>
      <c r="I46" s="15" t="n">
        <v>46316</v>
      </c>
      <c r="J46" s="15" t="n">
        <v>46317</v>
      </c>
      <c r="K46" s="16" t="n">
        <v>0</v>
      </c>
      <c r="L46" s="14" t="s">
        <v>283</v>
      </c>
      <c r="M46" s="14" t="s">
        <v>290</v>
      </c>
      <c r="N46" s="14"/>
      <c r="O46" s="14" t="n">
        <f aca="true">IF(H46="Done",0,IF(J46&lt;TODAY(),"OVERDUE",J46-TODAY()))</f>
        <v>32</v>
      </c>
      <c r="P46" s="17" t="str">
        <f aca="true">IF(H46="Blocked","RED",IF(H46="Done","GREEN",IF(J46&lt;TODAY(),"RED",IF(J46-TODAY()&lt;=7,"AMBER","GREEN"))))</f>
        <v>GREEN</v>
      </c>
    </row>
    <row r="47" customFormat="false" ht="28.35" hidden="false" customHeight="false" outlineLevel="0" collapsed="false">
      <c r="A47" s="3" t="s">
        <v>291</v>
      </c>
      <c r="B47" s="3" t="n">
        <v>4</v>
      </c>
      <c r="C47" s="18" t="s">
        <v>41</v>
      </c>
      <c r="D47" s="3" t="s">
        <v>292</v>
      </c>
      <c r="E47" s="3" t="s">
        <v>293</v>
      </c>
      <c r="F47" s="18" t="s">
        <v>42</v>
      </c>
      <c r="G47" s="18" t="s">
        <v>43</v>
      </c>
      <c r="H47" s="18" t="s">
        <v>8</v>
      </c>
      <c r="I47" s="9" t="n">
        <v>46318</v>
      </c>
      <c r="J47" s="9" t="n">
        <v>46318</v>
      </c>
      <c r="K47" s="7" t="n">
        <v>0</v>
      </c>
      <c r="L47" s="3" t="s">
        <v>287</v>
      </c>
      <c r="M47" s="3" t="s">
        <v>294</v>
      </c>
      <c r="N47" s="3" t="s">
        <v>295</v>
      </c>
      <c r="O47" s="3" t="n">
        <f aca="true">IF(H47="Done",0,IF(J47&lt;TODAY(),"OVERDUE",J47-TODAY()))</f>
        <v>33</v>
      </c>
      <c r="P47" s="3" t="str">
        <f aca="true">IF(H47="Blocked","RED",IF(H47="Done","GREEN",IF(J47&lt;TODAY(),"RED",IF(J47-TODAY()&lt;=7,"AMBER","GREEN"))))</f>
        <v>GREEN</v>
      </c>
    </row>
    <row r="48" customFormat="false" ht="28.35" hidden="false" customHeight="false" outlineLevel="0" collapsed="false">
      <c r="A48" s="14" t="s">
        <v>296</v>
      </c>
      <c r="B48" s="14" t="n">
        <v>5</v>
      </c>
      <c r="C48" s="14" t="s">
        <v>47</v>
      </c>
      <c r="D48" s="14" t="s">
        <v>297</v>
      </c>
      <c r="E48" s="14" t="s">
        <v>298</v>
      </c>
      <c r="F48" s="14" t="s">
        <v>45</v>
      </c>
      <c r="G48" s="14" t="s">
        <v>40</v>
      </c>
      <c r="H48" s="14" t="s">
        <v>8</v>
      </c>
      <c r="I48" s="15" t="n">
        <v>46321</v>
      </c>
      <c r="J48" s="15" t="n">
        <v>46322</v>
      </c>
      <c r="K48" s="16" t="n">
        <v>0</v>
      </c>
      <c r="L48" s="14" t="s">
        <v>291</v>
      </c>
      <c r="M48" s="14" t="s">
        <v>299</v>
      </c>
      <c r="N48" s="14" t="s">
        <v>231</v>
      </c>
      <c r="O48" s="14" t="n">
        <f aca="true">IF(H48="Done",0,IF(J48&lt;TODAY(),"OVERDUE",J48-TODAY()))</f>
        <v>37</v>
      </c>
      <c r="P48" s="17" t="str">
        <f aca="true">IF(H48="Blocked","RED",IF(H48="Done","GREEN",IF(J48&lt;TODAY(),"RED",IF(J48-TODAY()&lt;=7,"AMBER","GREEN"))))</f>
        <v>GREEN</v>
      </c>
    </row>
    <row r="49" customFormat="false" ht="28.35" hidden="false" customHeight="false" outlineLevel="0" collapsed="false">
      <c r="A49" s="3" t="s">
        <v>300</v>
      </c>
      <c r="B49" s="3" t="n">
        <v>5</v>
      </c>
      <c r="C49" s="18" t="s">
        <v>54</v>
      </c>
      <c r="D49" s="3" t="s">
        <v>301</v>
      </c>
      <c r="E49" s="3" t="s">
        <v>302</v>
      </c>
      <c r="F49" s="18" t="s">
        <v>45</v>
      </c>
      <c r="G49" s="18" t="s">
        <v>43</v>
      </c>
      <c r="H49" s="18" t="s">
        <v>8</v>
      </c>
      <c r="I49" s="9" t="n">
        <v>46322</v>
      </c>
      <c r="J49" s="9" t="n">
        <v>46323</v>
      </c>
      <c r="K49" s="7" t="n">
        <v>0</v>
      </c>
      <c r="L49" s="3" t="s">
        <v>296</v>
      </c>
      <c r="M49" s="3" t="s">
        <v>303</v>
      </c>
      <c r="N49" s="3" t="s">
        <v>304</v>
      </c>
      <c r="O49" s="3" t="n">
        <f aca="true">IF(H49="Done",0,IF(J49&lt;TODAY(),"OVERDUE",J49-TODAY()))</f>
        <v>38</v>
      </c>
      <c r="P49" s="3" t="str">
        <f aca="true">IF(H49="Blocked","RED",IF(H49="Done","GREEN",IF(J49&lt;TODAY(),"RED",IF(J49-TODAY()&lt;=7,"AMBER","GREEN"))))</f>
        <v>GREEN</v>
      </c>
    </row>
    <row r="50" customFormat="false" ht="41.75" hidden="false" customHeight="false" outlineLevel="0" collapsed="false">
      <c r="A50" s="14" t="s">
        <v>305</v>
      </c>
      <c r="B50" s="14" t="n">
        <v>5</v>
      </c>
      <c r="C50" s="14" t="s">
        <v>56</v>
      </c>
      <c r="D50" s="14" t="s">
        <v>306</v>
      </c>
      <c r="E50" s="14" t="s">
        <v>307</v>
      </c>
      <c r="F50" s="14" t="s">
        <v>45</v>
      </c>
      <c r="G50" s="14" t="s">
        <v>40</v>
      </c>
      <c r="H50" s="14" t="s">
        <v>8</v>
      </c>
      <c r="I50" s="15" t="n">
        <v>46322</v>
      </c>
      <c r="J50" s="15" t="n">
        <v>46324</v>
      </c>
      <c r="K50" s="16" t="n">
        <v>0</v>
      </c>
      <c r="L50" s="14" t="s">
        <v>296</v>
      </c>
      <c r="M50" s="14" t="s">
        <v>308</v>
      </c>
      <c r="N50" s="14" t="s">
        <v>231</v>
      </c>
      <c r="O50" s="14" t="n">
        <f aca="true">IF(H50="Done",0,IF(J50&lt;TODAY(),"OVERDUE",J50-TODAY()))</f>
        <v>39</v>
      </c>
      <c r="P50" s="17" t="str">
        <f aca="true">IF(H50="Blocked","RED",IF(H50="Done","GREEN",IF(J50&lt;TODAY(),"RED",IF(J50-TODAY()&lt;=7,"AMBER","GREEN"))))</f>
        <v>GREEN</v>
      </c>
    </row>
    <row r="51" customFormat="false" ht="28.35" hidden="false" customHeight="false" outlineLevel="0" collapsed="false">
      <c r="A51" s="3" t="s">
        <v>309</v>
      </c>
      <c r="B51" s="3" t="n">
        <v>5</v>
      </c>
      <c r="C51" s="18" t="s">
        <v>47</v>
      </c>
      <c r="D51" s="3" t="s">
        <v>310</v>
      </c>
      <c r="E51" s="3" t="s">
        <v>311</v>
      </c>
      <c r="F51" s="18" t="s">
        <v>45</v>
      </c>
      <c r="G51" s="18" t="s">
        <v>40</v>
      </c>
      <c r="H51" s="18" t="s">
        <v>8</v>
      </c>
      <c r="I51" s="9" t="n">
        <v>46324</v>
      </c>
      <c r="J51" s="9" t="n">
        <v>46325</v>
      </c>
      <c r="K51" s="7" t="n">
        <v>0</v>
      </c>
      <c r="L51" s="3" t="s">
        <v>305</v>
      </c>
      <c r="M51" s="3" t="s">
        <v>312</v>
      </c>
      <c r="N51" s="3"/>
      <c r="O51" s="3" t="n">
        <f aca="true">IF(H51="Done",0,IF(J51&lt;TODAY(),"OVERDUE",J51-TODAY()))</f>
        <v>40</v>
      </c>
      <c r="P51" s="3" t="str">
        <f aca="true">IF(H51="Blocked","RED",IF(H51="Done","GREEN",IF(J51&lt;TODAY(),"RED",IF(J51-TODAY()&lt;=7,"AMBER","GREEN"))))</f>
        <v>GREEN</v>
      </c>
    </row>
    <row r="52" customFormat="false" ht="28.35" hidden="false" customHeight="false" outlineLevel="0" collapsed="false">
      <c r="A52" s="14" t="s">
        <v>313</v>
      </c>
      <c r="B52" s="14" t="n">
        <v>5</v>
      </c>
      <c r="C52" s="14" t="s">
        <v>60</v>
      </c>
      <c r="D52" s="14" t="s">
        <v>314</v>
      </c>
      <c r="E52" s="14" t="s">
        <v>315</v>
      </c>
      <c r="F52" s="14" t="s">
        <v>57</v>
      </c>
      <c r="G52" s="14" t="s">
        <v>40</v>
      </c>
      <c r="H52" s="14" t="s">
        <v>8</v>
      </c>
      <c r="I52" s="15" t="n">
        <v>46325</v>
      </c>
      <c r="J52" s="15" t="n">
        <v>46325</v>
      </c>
      <c r="K52" s="16" t="n">
        <v>0</v>
      </c>
      <c r="L52" s="14" t="s">
        <v>309</v>
      </c>
      <c r="M52" s="14" t="s">
        <v>248</v>
      </c>
      <c r="N52" s="14" t="s">
        <v>316</v>
      </c>
      <c r="O52" s="14" t="n">
        <f aca="true">IF(H52="Done",0,IF(J52&lt;TODAY(),"OVERDUE",J52-TODAY()))</f>
        <v>40</v>
      </c>
      <c r="P52" s="17" t="str">
        <f aca="true">IF(H52="Blocked","RED",IF(H52="Done","GREEN",IF(J52&lt;TODAY(),"RED",IF(J52-TODAY()&lt;=7,"AMBER","GREEN"))))</f>
        <v>GREEN</v>
      </c>
    </row>
    <row r="53" customFormat="false" ht="28.35" hidden="false" customHeight="false" outlineLevel="0" collapsed="false">
      <c r="A53" s="3" t="s">
        <v>317</v>
      </c>
      <c r="B53" s="3" t="n">
        <v>6</v>
      </c>
      <c r="C53" s="18" t="s">
        <v>44</v>
      </c>
      <c r="D53" s="3" t="s">
        <v>318</v>
      </c>
      <c r="E53" s="3" t="s">
        <v>319</v>
      </c>
      <c r="F53" s="18" t="s">
        <v>45</v>
      </c>
      <c r="G53" s="18" t="s">
        <v>40</v>
      </c>
      <c r="H53" s="18" t="s">
        <v>8</v>
      </c>
      <c r="I53" s="9" t="n">
        <v>46328</v>
      </c>
      <c r="J53" s="9" t="n">
        <v>46328</v>
      </c>
      <c r="K53" s="7" t="n">
        <v>0</v>
      </c>
      <c r="L53" s="3" t="s">
        <v>313</v>
      </c>
      <c r="M53" s="3" t="s">
        <v>320</v>
      </c>
      <c r="N53" s="3"/>
      <c r="O53" s="3" t="n">
        <f aca="true">IF(H53="Done",0,IF(J53&lt;TODAY(),"OVERDUE",J53-TODAY()))</f>
        <v>43</v>
      </c>
      <c r="P53" s="3" t="str">
        <f aca="true">IF(H53="Blocked","RED",IF(H53="Done","GREEN",IF(J53&lt;TODAY(),"RED",IF(J53-TODAY()&lt;=7,"AMBER","GREEN"))))</f>
        <v>GREEN</v>
      </c>
    </row>
    <row r="54" customFormat="false" ht="28.35" hidden="false" customHeight="false" outlineLevel="0" collapsed="false">
      <c r="A54" s="14" t="s">
        <v>321</v>
      </c>
      <c r="B54" s="14" t="n">
        <v>6</v>
      </c>
      <c r="C54" s="14" t="s">
        <v>44</v>
      </c>
      <c r="D54" s="14" t="s">
        <v>322</v>
      </c>
      <c r="E54" s="14" t="s">
        <v>323</v>
      </c>
      <c r="F54" s="14" t="s">
        <v>45</v>
      </c>
      <c r="G54" s="14" t="s">
        <v>43</v>
      </c>
      <c r="H54" s="14" t="s">
        <v>8</v>
      </c>
      <c r="I54" s="15" t="n">
        <v>46328</v>
      </c>
      <c r="J54" s="15" t="n">
        <v>46329</v>
      </c>
      <c r="K54" s="16" t="n">
        <v>0</v>
      </c>
      <c r="L54" s="14" t="s">
        <v>317</v>
      </c>
      <c r="M54" s="14" t="s">
        <v>324</v>
      </c>
      <c r="N54" s="14"/>
      <c r="O54" s="14" t="n">
        <f aca="true">IF(H54="Done",0,IF(J54&lt;TODAY(),"OVERDUE",J54-TODAY()))</f>
        <v>44</v>
      </c>
      <c r="P54" s="17" t="str">
        <f aca="true">IF(H54="Blocked","RED",IF(H54="Done","GREEN",IF(J54&lt;TODAY(),"RED",IF(J54-TODAY()&lt;=7,"AMBER","GREEN"))))</f>
        <v>GREEN</v>
      </c>
    </row>
    <row r="55" customFormat="false" ht="28.35" hidden="false" customHeight="false" outlineLevel="0" collapsed="false">
      <c r="A55" s="3" t="s">
        <v>325</v>
      </c>
      <c r="B55" s="3" t="n">
        <v>6</v>
      </c>
      <c r="C55" s="18" t="s">
        <v>44</v>
      </c>
      <c r="D55" s="3" t="s">
        <v>326</v>
      </c>
      <c r="E55" s="3" t="s">
        <v>327</v>
      </c>
      <c r="F55" s="18" t="s">
        <v>45</v>
      </c>
      <c r="G55" s="18" t="s">
        <v>40</v>
      </c>
      <c r="H55" s="18" t="s">
        <v>8</v>
      </c>
      <c r="I55" s="9" t="n">
        <v>46329</v>
      </c>
      <c r="J55" s="9" t="n">
        <v>46330</v>
      </c>
      <c r="K55" s="7" t="n">
        <v>0</v>
      </c>
      <c r="L55" s="3" t="s">
        <v>321</v>
      </c>
      <c r="M55" s="3" t="s">
        <v>328</v>
      </c>
      <c r="N55" s="3" t="s">
        <v>231</v>
      </c>
      <c r="O55" s="3" t="n">
        <f aca="true">IF(H55="Done",0,IF(J55&lt;TODAY(),"OVERDUE",J55-TODAY()))</f>
        <v>45</v>
      </c>
      <c r="P55" s="3" t="str">
        <f aca="true">IF(H55="Blocked","RED",IF(H55="Done","GREEN",IF(J55&lt;TODAY(),"RED",IF(J55-TODAY()&lt;=7,"AMBER","GREEN"))))</f>
        <v>GREEN</v>
      </c>
    </row>
    <row r="56" customFormat="false" ht="28.35" hidden="false" customHeight="false" outlineLevel="0" collapsed="false">
      <c r="A56" s="14" t="s">
        <v>329</v>
      </c>
      <c r="B56" s="14" t="n">
        <v>6</v>
      </c>
      <c r="C56" s="14" t="s">
        <v>44</v>
      </c>
      <c r="D56" s="14" t="s">
        <v>330</v>
      </c>
      <c r="E56" s="14" t="s">
        <v>331</v>
      </c>
      <c r="F56" s="14" t="s">
        <v>45</v>
      </c>
      <c r="G56" s="14" t="s">
        <v>40</v>
      </c>
      <c r="H56" s="14" t="s">
        <v>8</v>
      </c>
      <c r="I56" s="15" t="n">
        <v>46330</v>
      </c>
      <c r="J56" s="15" t="n">
        <v>46331</v>
      </c>
      <c r="K56" s="16" t="n">
        <v>0</v>
      </c>
      <c r="L56" s="14" t="s">
        <v>325</v>
      </c>
      <c r="M56" s="14" t="s">
        <v>332</v>
      </c>
      <c r="N56" s="14"/>
      <c r="O56" s="14" t="n">
        <f aca="true">IF(H56="Done",0,IF(J56&lt;TODAY(),"OVERDUE",J56-TODAY()))</f>
        <v>46</v>
      </c>
      <c r="P56" s="17" t="str">
        <f aca="true">IF(H56="Blocked","RED",IF(H56="Done","GREEN",IF(J56&lt;TODAY(),"RED",IF(J56-TODAY()&lt;=7,"AMBER","GREEN"))))</f>
        <v>GREEN</v>
      </c>
    </row>
    <row r="57" customFormat="false" ht="28.35" hidden="false" customHeight="false" outlineLevel="0" collapsed="false">
      <c r="A57" s="3" t="s">
        <v>333</v>
      </c>
      <c r="B57" s="3" t="n">
        <v>6</v>
      </c>
      <c r="C57" s="18" t="s">
        <v>44</v>
      </c>
      <c r="D57" s="3" t="s">
        <v>334</v>
      </c>
      <c r="E57" s="3" t="s">
        <v>335</v>
      </c>
      <c r="F57" s="18" t="s">
        <v>45</v>
      </c>
      <c r="G57" s="18" t="s">
        <v>40</v>
      </c>
      <c r="H57" s="18" t="s">
        <v>8</v>
      </c>
      <c r="I57" s="9" t="n">
        <v>46330</v>
      </c>
      <c r="J57" s="9" t="n">
        <v>46331</v>
      </c>
      <c r="K57" s="7" t="n">
        <v>0</v>
      </c>
      <c r="L57" s="3" t="s">
        <v>329</v>
      </c>
      <c r="M57" s="3" t="s">
        <v>336</v>
      </c>
      <c r="N57" s="3"/>
      <c r="O57" s="3" t="n">
        <f aca="true">IF(H57="Done",0,IF(J57&lt;TODAY(),"OVERDUE",J57-TODAY()))</f>
        <v>46</v>
      </c>
      <c r="P57" s="3" t="str">
        <f aca="true">IF(H57="Blocked","RED",IF(H57="Done","GREEN",IF(J57&lt;TODAY(),"RED",IF(J57-TODAY()&lt;=7,"AMBER","GREEN"))))</f>
        <v>GREEN</v>
      </c>
    </row>
    <row r="58" customFormat="false" ht="28.35" hidden="false" customHeight="false" outlineLevel="0" collapsed="false">
      <c r="A58" s="14" t="s">
        <v>337</v>
      </c>
      <c r="B58" s="14" t="n">
        <v>6</v>
      </c>
      <c r="C58" s="14" t="s">
        <v>44</v>
      </c>
      <c r="D58" s="14" t="s">
        <v>338</v>
      </c>
      <c r="E58" s="14" t="s">
        <v>339</v>
      </c>
      <c r="F58" s="14" t="s">
        <v>42</v>
      </c>
      <c r="G58" s="14" t="s">
        <v>40</v>
      </c>
      <c r="H58" s="14" t="s">
        <v>8</v>
      </c>
      <c r="I58" s="15" t="n">
        <v>46331</v>
      </c>
      <c r="J58" s="15" t="n">
        <v>46332</v>
      </c>
      <c r="K58" s="16" t="n">
        <v>0</v>
      </c>
      <c r="L58" s="14" t="s">
        <v>333</v>
      </c>
      <c r="M58" s="14" t="s">
        <v>340</v>
      </c>
      <c r="N58" s="14" t="s">
        <v>341</v>
      </c>
      <c r="O58" s="14" t="n">
        <f aca="true">IF(H58="Done",0,IF(J58&lt;TODAY(),"OVERDUE",J58-TODAY()))</f>
        <v>47</v>
      </c>
      <c r="P58" s="17" t="str">
        <f aca="true">IF(H58="Blocked","RED",IF(H58="Done","GREEN",IF(J58&lt;TODAY(),"RED",IF(J58-TODAY()&lt;=7,"AMBER","GREEN"))))</f>
        <v>GREEN</v>
      </c>
    </row>
    <row r="59" customFormat="false" ht="28.35" hidden="false" customHeight="false" outlineLevel="0" collapsed="false">
      <c r="A59" s="3" t="s">
        <v>342</v>
      </c>
      <c r="B59" s="3" t="n">
        <v>6</v>
      </c>
      <c r="C59" s="18" t="s">
        <v>44</v>
      </c>
      <c r="D59" s="3" t="s">
        <v>343</v>
      </c>
      <c r="E59" s="3" t="s">
        <v>344</v>
      </c>
      <c r="F59" s="18" t="s">
        <v>42</v>
      </c>
      <c r="G59" s="18" t="s">
        <v>40</v>
      </c>
      <c r="H59" s="18" t="s">
        <v>8</v>
      </c>
      <c r="I59" s="9" t="n">
        <v>46332</v>
      </c>
      <c r="J59" s="9" t="n">
        <v>46332</v>
      </c>
      <c r="K59" s="7" t="n">
        <v>0</v>
      </c>
      <c r="L59" s="3" t="s">
        <v>337</v>
      </c>
      <c r="M59" s="3" t="s">
        <v>345</v>
      </c>
      <c r="N59" s="3" t="s">
        <v>346</v>
      </c>
      <c r="O59" s="3" t="n">
        <f aca="true">IF(H59="Done",0,IF(J59&lt;TODAY(),"OVERDUE",J59-TODAY()))</f>
        <v>47</v>
      </c>
      <c r="P59" s="3" t="str">
        <f aca="true">IF(H59="Blocked","RED",IF(H59="Done","GREEN",IF(J59&lt;TODAY(),"RED",IF(J59-TODAY()&lt;=7,"AMBER","GREEN"))))</f>
        <v>GREEN</v>
      </c>
    </row>
    <row r="60" customFormat="false" ht="28.35" hidden="false" customHeight="false" outlineLevel="0" collapsed="false">
      <c r="A60" s="14" t="s">
        <v>347</v>
      </c>
      <c r="B60" s="14" t="n">
        <v>7</v>
      </c>
      <c r="C60" s="14" t="s">
        <v>47</v>
      </c>
      <c r="D60" s="14" t="s">
        <v>348</v>
      </c>
      <c r="E60" s="14" t="s">
        <v>349</v>
      </c>
      <c r="F60" s="14" t="s">
        <v>45</v>
      </c>
      <c r="G60" s="14" t="s">
        <v>40</v>
      </c>
      <c r="H60" s="14" t="s">
        <v>8</v>
      </c>
      <c r="I60" s="15" t="n">
        <v>46335</v>
      </c>
      <c r="J60" s="15" t="n">
        <v>46336</v>
      </c>
      <c r="K60" s="16" t="n">
        <v>0</v>
      </c>
      <c r="L60" s="14" t="s">
        <v>342</v>
      </c>
      <c r="M60" s="14" t="s">
        <v>350</v>
      </c>
      <c r="N60" s="14" t="s">
        <v>231</v>
      </c>
      <c r="O60" s="14" t="n">
        <f aca="true">IF(H60="Done",0,IF(J60&lt;TODAY(),"OVERDUE",J60-TODAY()))</f>
        <v>51</v>
      </c>
      <c r="P60" s="17" t="str">
        <f aca="true">IF(H60="Blocked","RED",IF(H60="Done","GREEN",IF(J60&lt;TODAY(),"RED",IF(J60-TODAY()&lt;=7,"AMBER","GREEN"))))</f>
        <v>GREEN</v>
      </c>
    </row>
    <row r="61" customFormat="false" ht="28.35" hidden="false" customHeight="false" outlineLevel="0" collapsed="false">
      <c r="A61" s="3" t="s">
        <v>351</v>
      </c>
      <c r="B61" s="3" t="n">
        <v>7</v>
      </c>
      <c r="C61" s="18" t="s">
        <v>47</v>
      </c>
      <c r="D61" s="3" t="s">
        <v>352</v>
      </c>
      <c r="E61" s="3" t="s">
        <v>353</v>
      </c>
      <c r="F61" s="18" t="s">
        <v>45</v>
      </c>
      <c r="G61" s="18" t="s">
        <v>40</v>
      </c>
      <c r="H61" s="18" t="s">
        <v>8</v>
      </c>
      <c r="I61" s="9" t="n">
        <v>46336</v>
      </c>
      <c r="J61" s="9" t="n">
        <v>46337</v>
      </c>
      <c r="K61" s="7" t="n">
        <v>0</v>
      </c>
      <c r="L61" s="3" t="s">
        <v>347</v>
      </c>
      <c r="M61" s="3" t="s">
        <v>354</v>
      </c>
      <c r="N61" s="3"/>
      <c r="O61" s="3" t="n">
        <f aca="true">IF(H61="Done",0,IF(J61&lt;TODAY(),"OVERDUE",J61-TODAY()))</f>
        <v>52</v>
      </c>
      <c r="P61" s="3" t="str">
        <f aca="true">IF(H61="Blocked","RED",IF(H61="Done","GREEN",IF(J61&lt;TODAY(),"RED",IF(J61-TODAY()&lt;=7,"AMBER","GREEN"))))</f>
        <v>GREEN</v>
      </c>
    </row>
    <row r="62" customFormat="false" ht="28.35" hidden="false" customHeight="false" outlineLevel="0" collapsed="false">
      <c r="A62" s="14" t="s">
        <v>355</v>
      </c>
      <c r="B62" s="14" t="n">
        <v>7</v>
      </c>
      <c r="C62" s="14" t="s">
        <v>47</v>
      </c>
      <c r="D62" s="14" t="s">
        <v>356</v>
      </c>
      <c r="E62" s="14" t="s">
        <v>357</v>
      </c>
      <c r="F62" s="14" t="s">
        <v>45</v>
      </c>
      <c r="G62" s="14" t="s">
        <v>43</v>
      </c>
      <c r="H62" s="14" t="s">
        <v>8</v>
      </c>
      <c r="I62" s="15" t="n">
        <v>46337</v>
      </c>
      <c r="J62" s="15" t="n">
        <v>46338</v>
      </c>
      <c r="K62" s="16" t="n">
        <v>0</v>
      </c>
      <c r="L62" s="14" t="s">
        <v>351</v>
      </c>
      <c r="M62" s="14" t="s">
        <v>358</v>
      </c>
      <c r="N62" s="14"/>
      <c r="O62" s="14" t="n">
        <f aca="true">IF(H62="Done",0,IF(J62&lt;TODAY(),"OVERDUE",J62-TODAY()))</f>
        <v>53</v>
      </c>
      <c r="P62" s="17" t="str">
        <f aca="true">IF(H62="Blocked","RED",IF(H62="Done","GREEN",IF(J62&lt;TODAY(),"RED",IF(J62-TODAY()&lt;=7,"AMBER","GREEN"))))</f>
        <v>GREEN</v>
      </c>
    </row>
    <row r="63" customFormat="false" ht="28.35" hidden="false" customHeight="false" outlineLevel="0" collapsed="false">
      <c r="A63" s="3" t="s">
        <v>359</v>
      </c>
      <c r="B63" s="3" t="n">
        <v>7</v>
      </c>
      <c r="C63" s="18" t="s">
        <v>41</v>
      </c>
      <c r="D63" s="3" t="s">
        <v>360</v>
      </c>
      <c r="E63" s="3" t="s">
        <v>361</v>
      </c>
      <c r="F63" s="18" t="s">
        <v>45</v>
      </c>
      <c r="G63" s="18" t="s">
        <v>40</v>
      </c>
      <c r="H63" s="18" t="s">
        <v>8</v>
      </c>
      <c r="I63" s="9" t="n">
        <v>46338</v>
      </c>
      <c r="J63" s="9" t="n">
        <v>46339</v>
      </c>
      <c r="K63" s="7" t="n">
        <v>0</v>
      </c>
      <c r="L63" s="3" t="s">
        <v>355</v>
      </c>
      <c r="M63" s="3" t="s">
        <v>362</v>
      </c>
      <c r="N63" s="3"/>
      <c r="O63" s="3" t="n">
        <f aca="true">IF(H63="Done",0,IF(J63&lt;TODAY(),"OVERDUE",J63-TODAY()))</f>
        <v>54</v>
      </c>
      <c r="P63" s="3" t="str">
        <f aca="true">IF(H63="Blocked","RED",IF(H63="Done","GREEN",IF(J63&lt;TODAY(),"RED",IF(J63-TODAY()&lt;=7,"AMBER","GREEN"))))</f>
        <v>GREEN</v>
      </c>
    </row>
    <row r="64" customFormat="false" ht="28.35" hidden="false" customHeight="false" outlineLevel="0" collapsed="false">
      <c r="A64" s="14" t="s">
        <v>363</v>
      </c>
      <c r="B64" s="14" t="n">
        <v>7</v>
      </c>
      <c r="C64" s="14" t="s">
        <v>58</v>
      </c>
      <c r="D64" s="14" t="s">
        <v>364</v>
      </c>
      <c r="E64" s="14" t="s">
        <v>365</v>
      </c>
      <c r="F64" s="14" t="s">
        <v>42</v>
      </c>
      <c r="G64" s="14" t="s">
        <v>40</v>
      </c>
      <c r="H64" s="14" t="s">
        <v>8</v>
      </c>
      <c r="I64" s="15" t="n">
        <v>46338</v>
      </c>
      <c r="J64" s="15" t="n">
        <v>46339</v>
      </c>
      <c r="K64" s="16" t="n">
        <v>0</v>
      </c>
      <c r="L64" s="14" t="s">
        <v>217</v>
      </c>
      <c r="M64" s="14" t="s">
        <v>366</v>
      </c>
      <c r="N64" s="14" t="s">
        <v>367</v>
      </c>
      <c r="O64" s="14" t="n">
        <f aca="true">IF(H64="Done",0,IF(J64&lt;TODAY(),"OVERDUE",J64-TODAY()))</f>
        <v>54</v>
      </c>
      <c r="P64" s="17" t="str">
        <f aca="true">IF(H64="Blocked","RED",IF(H64="Done","GREEN",IF(J64&lt;TODAY(),"RED",IF(J64-TODAY()&lt;=7,"AMBER","GREEN"))))</f>
        <v>GREEN</v>
      </c>
    </row>
    <row r="65" customFormat="false" ht="28.35" hidden="false" customHeight="false" outlineLevel="0" collapsed="false">
      <c r="A65" s="3" t="s">
        <v>368</v>
      </c>
      <c r="B65" s="3" t="n">
        <v>7</v>
      </c>
      <c r="C65" s="18" t="s">
        <v>41</v>
      </c>
      <c r="D65" s="3" t="s">
        <v>369</v>
      </c>
      <c r="E65" s="3" t="s">
        <v>370</v>
      </c>
      <c r="F65" s="18" t="s">
        <v>42</v>
      </c>
      <c r="G65" s="18" t="s">
        <v>40</v>
      </c>
      <c r="H65" s="18" t="s">
        <v>8</v>
      </c>
      <c r="I65" s="9" t="n">
        <v>46342</v>
      </c>
      <c r="J65" s="9" t="n">
        <v>46353</v>
      </c>
      <c r="K65" s="7" t="n">
        <v>0</v>
      </c>
      <c r="L65" s="3" t="s">
        <v>371</v>
      </c>
      <c r="M65" s="3" t="s">
        <v>372</v>
      </c>
      <c r="N65" s="3" t="s">
        <v>373</v>
      </c>
      <c r="O65" s="3" t="n">
        <f aca="true">IF(H65="Done",0,IF(J65&lt;TODAY(),"OVERDUE",J65-TODAY()))</f>
        <v>68</v>
      </c>
      <c r="P65" s="3" t="str">
        <f aca="true">IF(H65="Blocked","RED",IF(H65="Done","GREEN",IF(J65&lt;TODAY(),"RED",IF(J65-TODAY()&lt;=7,"AMBER","GREEN"))))</f>
        <v>GREEN</v>
      </c>
    </row>
    <row r="66" customFormat="false" ht="28.35" hidden="false" customHeight="false" outlineLevel="0" collapsed="false">
      <c r="A66" s="14" t="s">
        <v>374</v>
      </c>
      <c r="B66" s="14" t="n">
        <v>10</v>
      </c>
      <c r="C66" s="14" t="s">
        <v>58</v>
      </c>
      <c r="D66" s="14" t="s">
        <v>375</v>
      </c>
      <c r="E66" s="14" t="s">
        <v>376</v>
      </c>
      <c r="F66" s="14" t="s">
        <v>45</v>
      </c>
      <c r="G66" s="14" t="s">
        <v>40</v>
      </c>
      <c r="H66" s="14" t="s">
        <v>8</v>
      </c>
      <c r="I66" s="15" t="n">
        <v>46356</v>
      </c>
      <c r="J66" s="15" t="n">
        <v>46360</v>
      </c>
      <c r="K66" s="16" t="n">
        <v>0</v>
      </c>
      <c r="L66" s="14" t="s">
        <v>368</v>
      </c>
      <c r="M66" s="14" t="s">
        <v>377</v>
      </c>
      <c r="N66" s="14"/>
      <c r="O66" s="14" t="n">
        <f aca="true">IF(H66="Done",0,IF(J66&lt;TODAY(),"OVERDUE",J66-TODAY()))</f>
        <v>75</v>
      </c>
      <c r="P66" s="17" t="str">
        <f aca="true">IF(H66="Blocked","RED",IF(H66="Done","GREEN",IF(J66&lt;TODAY(),"RED",IF(J66-TODAY()&lt;=7,"AMBER","GREEN"))))</f>
        <v>GREEN</v>
      </c>
    </row>
    <row r="67" customFormat="false" ht="28.35" hidden="false" customHeight="false" outlineLevel="0" collapsed="false">
      <c r="A67" s="3" t="s">
        <v>378</v>
      </c>
      <c r="B67" s="3" t="n">
        <v>10</v>
      </c>
      <c r="C67" s="18" t="s">
        <v>60</v>
      </c>
      <c r="D67" s="3" t="s">
        <v>379</v>
      </c>
      <c r="E67" s="3" t="s">
        <v>380</v>
      </c>
      <c r="F67" s="18" t="s">
        <v>45</v>
      </c>
      <c r="G67" s="18" t="s">
        <v>43</v>
      </c>
      <c r="H67" s="18" t="s">
        <v>8</v>
      </c>
      <c r="I67" s="9" t="n">
        <v>46363</v>
      </c>
      <c r="J67" s="9" t="n">
        <v>46367</v>
      </c>
      <c r="K67" s="7" t="n">
        <v>0</v>
      </c>
      <c r="L67" s="3" t="s">
        <v>368</v>
      </c>
      <c r="M67" s="3" t="s">
        <v>381</v>
      </c>
      <c r="N67" s="3"/>
      <c r="O67" s="3" t="n">
        <f aca="true">IF(H67="Done",0,IF(J67&lt;TODAY(),"OVERDUE",J67-TODAY()))</f>
        <v>82</v>
      </c>
      <c r="P67" s="3" t="str">
        <f aca="true">IF(H67="Blocked","RED",IF(H67="Done","GREEN",IF(J67&lt;TODAY(),"RED",IF(J67-TODAY()&lt;=7,"AMBER","GREEN"))))</f>
        <v>GREEN</v>
      </c>
    </row>
    <row r="68" customFormat="false" ht="28.35" hidden="false" customHeight="false" outlineLevel="0" collapsed="false">
      <c r="A68" s="14" t="s">
        <v>382</v>
      </c>
      <c r="B68" s="14" t="n">
        <v>10</v>
      </c>
      <c r="C68" s="14" t="s">
        <v>58</v>
      </c>
      <c r="D68" s="14" t="s">
        <v>383</v>
      </c>
      <c r="E68" s="14" t="s">
        <v>384</v>
      </c>
      <c r="F68" s="14" t="s">
        <v>45</v>
      </c>
      <c r="G68" s="14" t="s">
        <v>43</v>
      </c>
      <c r="H68" s="14" t="s">
        <v>8</v>
      </c>
      <c r="I68" s="15" t="n">
        <v>46363</v>
      </c>
      <c r="J68" s="15" t="n">
        <v>46367</v>
      </c>
      <c r="K68" s="16" t="n">
        <v>0</v>
      </c>
      <c r="L68" s="14" t="s">
        <v>368</v>
      </c>
      <c r="M68" s="14" t="s">
        <v>385</v>
      </c>
      <c r="N68" s="14" t="s">
        <v>386</v>
      </c>
      <c r="O68" s="14" t="n">
        <f aca="true">IF(H68="Done",0,IF(J68&lt;TODAY(),"OVERDUE",J68-TODAY()))</f>
        <v>82</v>
      </c>
      <c r="P68" s="17" t="str">
        <f aca="true">IF(H68="Blocked","RED",IF(H68="Done","GREEN",IF(J68&lt;TODAY(),"RED",IF(J68-TODAY()&lt;=7,"AMBER","GREEN"))))</f>
        <v>GREEN</v>
      </c>
    </row>
    <row r="69" customFormat="false" ht="28.35" hidden="false" customHeight="false" outlineLevel="0" collapsed="false">
      <c r="A69" s="3" t="s">
        <v>387</v>
      </c>
      <c r="B69" s="3" t="n">
        <v>10</v>
      </c>
      <c r="C69" s="18" t="s">
        <v>47</v>
      </c>
      <c r="D69" s="3" t="s">
        <v>388</v>
      </c>
      <c r="E69" s="3" t="s">
        <v>389</v>
      </c>
      <c r="F69" s="18" t="s">
        <v>45</v>
      </c>
      <c r="G69" s="18" t="s">
        <v>43</v>
      </c>
      <c r="H69" s="18" t="s">
        <v>8</v>
      </c>
      <c r="I69" s="9" t="n">
        <v>46370</v>
      </c>
      <c r="J69" s="9" t="n">
        <v>46374</v>
      </c>
      <c r="K69" s="7" t="n">
        <v>0</v>
      </c>
      <c r="L69" s="3" t="s">
        <v>368</v>
      </c>
      <c r="M69" s="3" t="s">
        <v>390</v>
      </c>
      <c r="N69" s="3" t="s">
        <v>391</v>
      </c>
      <c r="O69" s="3" t="n">
        <f aca="true">IF(H69="Done",0,IF(J69&lt;TODAY(),"OVERDUE",J69-TODAY()))</f>
        <v>89</v>
      </c>
      <c r="P69" s="3" t="str">
        <f aca="true">IF(H69="Blocked","RED",IF(H69="Done","GREEN",IF(J69&lt;TODAY(),"RED",IF(J69-TODAY()&lt;=7,"AMBER","GREEN"))))</f>
        <v>GREEN</v>
      </c>
    </row>
    <row r="70" customFormat="false" ht="28.35" hidden="false" customHeight="false" outlineLevel="0" collapsed="false">
      <c r="A70" s="14" t="s">
        <v>392</v>
      </c>
      <c r="B70" s="14" t="n">
        <v>10</v>
      </c>
      <c r="C70" s="14" t="s">
        <v>60</v>
      </c>
      <c r="D70" s="14" t="s">
        <v>393</v>
      </c>
      <c r="E70" s="14" t="s">
        <v>394</v>
      </c>
      <c r="F70" s="14" t="s">
        <v>45</v>
      </c>
      <c r="G70" s="14" t="s">
        <v>40</v>
      </c>
      <c r="H70" s="14" t="s">
        <v>8</v>
      </c>
      <c r="I70" s="15" t="n">
        <v>46370</v>
      </c>
      <c r="J70" s="15" t="n">
        <v>46379</v>
      </c>
      <c r="K70" s="16" t="n">
        <v>0</v>
      </c>
      <c r="L70" s="14" t="s">
        <v>368</v>
      </c>
      <c r="M70" s="14" t="s">
        <v>395</v>
      </c>
      <c r="N70" s="14"/>
      <c r="O70" s="14" t="n">
        <f aca="true">IF(H70="Done",0,IF(J70&lt;TODAY(),"OVERDUE",J70-TODAY()))</f>
        <v>94</v>
      </c>
      <c r="P70" s="17" t="str">
        <f aca="true">IF(H70="Blocked","RED",IF(H70="Done","GREEN",IF(J70&lt;TODAY(),"RED",IF(J70-TODAY()&lt;=7,"AMBER","GREEN"))))</f>
        <v>GREEN</v>
      </c>
    </row>
    <row r="71" customFormat="false" ht="28.35" hidden="false" customHeight="false" outlineLevel="0" collapsed="false">
      <c r="A71" s="3" t="s">
        <v>396</v>
      </c>
      <c r="B71" s="3" t="n">
        <v>10</v>
      </c>
      <c r="C71" s="18" t="s">
        <v>60</v>
      </c>
      <c r="D71" s="3" t="s">
        <v>397</v>
      </c>
      <c r="E71" s="3" t="s">
        <v>398</v>
      </c>
      <c r="F71" s="18" t="s">
        <v>55</v>
      </c>
      <c r="G71" s="18" t="s">
        <v>46</v>
      </c>
      <c r="H71" s="18" t="s">
        <v>8</v>
      </c>
      <c r="I71" s="9" t="n">
        <v>46370</v>
      </c>
      <c r="J71" s="9" t="n">
        <v>46402</v>
      </c>
      <c r="K71" s="7" t="n">
        <v>0</v>
      </c>
      <c r="L71" s="3" t="s">
        <v>392</v>
      </c>
      <c r="M71" s="3" t="s">
        <v>399</v>
      </c>
      <c r="N71" s="3" t="s">
        <v>400</v>
      </c>
      <c r="O71" s="3" t="n">
        <f aca="true">IF(H71="Done",0,IF(J71&lt;TODAY(),"OVERDUE",J71-TODAY()))</f>
        <v>117</v>
      </c>
      <c r="P71" s="3" t="str">
        <f aca="true">IF(H71="Blocked","RED",IF(H71="Done","GREEN",IF(J71&lt;TODAY(),"RED",IF(J71-TODAY()&lt;=7,"AMBER","GREEN"))))</f>
        <v>GREEN</v>
      </c>
    </row>
    <row r="72" customFormat="false" ht="28.35" hidden="false" customHeight="false" outlineLevel="0" collapsed="false">
      <c r="A72" s="14" t="s">
        <v>401</v>
      </c>
      <c r="B72" s="14" t="n">
        <v>10</v>
      </c>
      <c r="C72" s="14" t="s">
        <v>60</v>
      </c>
      <c r="D72" s="14" t="s">
        <v>402</v>
      </c>
      <c r="E72" s="14" t="s">
        <v>403</v>
      </c>
      <c r="F72" s="14" t="s">
        <v>42</v>
      </c>
      <c r="G72" s="14" t="s">
        <v>43</v>
      </c>
      <c r="H72" s="14" t="s">
        <v>8</v>
      </c>
      <c r="I72" s="15" t="n">
        <v>46377</v>
      </c>
      <c r="J72" s="15" t="n">
        <v>46379</v>
      </c>
      <c r="K72" s="16" t="n">
        <v>0</v>
      </c>
      <c r="L72" s="14" t="s">
        <v>378</v>
      </c>
      <c r="M72" s="14" t="s">
        <v>404</v>
      </c>
      <c r="N72" s="14"/>
      <c r="O72" s="14" t="n">
        <f aca="true">IF(H72="Done",0,IF(J72&lt;TODAY(),"OVERDUE",J72-TODAY()))</f>
        <v>94</v>
      </c>
      <c r="P72" s="17" t="str">
        <f aca="true">IF(H72="Blocked","RED",IF(H72="Done","GREEN",IF(J72&lt;TODAY(),"RED",IF(J72-TODAY()&lt;=7,"AMBER","GREEN"))))</f>
        <v>GREEN</v>
      </c>
    </row>
    <row r="73" customFormat="false" ht="28.35" hidden="false" customHeight="false" outlineLevel="0" collapsed="false">
      <c r="A73" s="3" t="s">
        <v>405</v>
      </c>
      <c r="B73" s="3" t="n">
        <v>10</v>
      </c>
      <c r="C73" s="18" t="s">
        <v>60</v>
      </c>
      <c r="D73" s="3" t="s">
        <v>406</v>
      </c>
      <c r="E73" s="3" t="s">
        <v>407</v>
      </c>
      <c r="F73" s="18" t="s">
        <v>42</v>
      </c>
      <c r="G73" s="18" t="s">
        <v>40</v>
      </c>
      <c r="H73" s="18" t="s">
        <v>8</v>
      </c>
      <c r="I73" s="9" t="n">
        <v>46357</v>
      </c>
      <c r="J73" s="9" t="n">
        <v>46444</v>
      </c>
      <c r="K73" s="7" t="n">
        <v>0</v>
      </c>
      <c r="L73" s="3"/>
      <c r="M73" s="3" t="s">
        <v>408</v>
      </c>
      <c r="N73" s="3" t="s">
        <v>409</v>
      </c>
      <c r="O73" s="3" t="n">
        <f aca="true">IF(H73="Done",0,IF(J73&lt;TODAY(),"OVERDUE",J73-TODAY()))</f>
        <v>159</v>
      </c>
      <c r="P73" s="3" t="str">
        <f aca="true">IF(H73="Blocked","RED",IF(H73="Done","GREEN",IF(J73&lt;TODAY(),"RED",IF(J73-TODAY()&lt;=7,"AMBER","GREEN"))))</f>
        <v>GREEN</v>
      </c>
    </row>
    <row r="74" customFormat="false" ht="28.35" hidden="false" customHeight="false" outlineLevel="0" collapsed="false">
      <c r="A74" s="14" t="s">
        <v>410</v>
      </c>
      <c r="B74" s="14" t="n">
        <v>10</v>
      </c>
      <c r="C74" s="14" t="s">
        <v>60</v>
      </c>
      <c r="D74" s="14" t="s">
        <v>411</v>
      </c>
      <c r="E74" s="14" t="s">
        <v>412</v>
      </c>
      <c r="F74" s="14" t="s">
        <v>42</v>
      </c>
      <c r="G74" s="14" t="s">
        <v>40</v>
      </c>
      <c r="H74" s="14" t="s">
        <v>8</v>
      </c>
      <c r="I74" s="15" t="n">
        <v>46384</v>
      </c>
      <c r="J74" s="15" t="n">
        <v>46388</v>
      </c>
      <c r="K74" s="16" t="n">
        <v>0</v>
      </c>
      <c r="L74" s="14" t="s">
        <v>413</v>
      </c>
      <c r="M74" s="14" t="s">
        <v>414</v>
      </c>
      <c r="N74" s="14" t="s">
        <v>415</v>
      </c>
      <c r="O74" s="14" t="n">
        <f aca="true">IF(H74="Done",0,IF(J74&lt;TODAY(),"OVERDUE",J74-TODAY()))</f>
        <v>103</v>
      </c>
      <c r="P74" s="17" t="str">
        <f aca="true">IF(H74="Blocked","RED",IF(H74="Done","GREEN",IF(J74&lt;TODAY(),"RED",IF(J74-TODAY()&lt;=7,"AMBER","GREEN"))))</f>
        <v>GREEN</v>
      </c>
    </row>
    <row r="75" customFormat="false" ht="28.35" hidden="false" customHeight="false" outlineLevel="0" collapsed="false">
      <c r="A75" s="3" t="s">
        <v>416</v>
      </c>
      <c r="B75" s="3" t="n">
        <v>10</v>
      </c>
      <c r="C75" s="18" t="s">
        <v>61</v>
      </c>
      <c r="D75" s="3" t="s">
        <v>417</v>
      </c>
      <c r="E75" s="3" t="s">
        <v>418</v>
      </c>
      <c r="F75" s="18" t="s">
        <v>42</v>
      </c>
      <c r="G75" s="18" t="s">
        <v>40</v>
      </c>
      <c r="H75" s="18" t="s">
        <v>8</v>
      </c>
      <c r="I75" s="9" t="n">
        <v>46357</v>
      </c>
      <c r="J75" s="9" t="n">
        <v>46395</v>
      </c>
      <c r="K75" s="7" t="n">
        <v>0</v>
      </c>
      <c r="L75" s="3" t="s">
        <v>81</v>
      </c>
      <c r="M75" s="3" t="s">
        <v>419</v>
      </c>
      <c r="N75" s="3" t="s">
        <v>420</v>
      </c>
      <c r="O75" s="3" t="n">
        <f aca="true">IF(H75="Done",0,IF(J75&lt;TODAY(),"OVERDUE",J75-TODAY()))</f>
        <v>110</v>
      </c>
      <c r="P75" s="3" t="str">
        <f aca="true">IF(H75="Blocked","RED",IF(H75="Done","GREEN",IF(J75&lt;TODAY(),"RED",IF(J75-TODAY()&lt;=7,"AMBER","GREEN"))))</f>
        <v>GREEN</v>
      </c>
    </row>
    <row r="76" customFormat="false" ht="28.35" hidden="false" customHeight="false" outlineLevel="0" collapsed="false">
      <c r="A76" s="14" t="s">
        <v>421</v>
      </c>
      <c r="B76" s="14" t="n">
        <v>10</v>
      </c>
      <c r="C76" s="14" t="s">
        <v>61</v>
      </c>
      <c r="D76" s="14" t="s">
        <v>422</v>
      </c>
      <c r="E76" s="14" t="s">
        <v>423</v>
      </c>
      <c r="F76" s="14" t="s">
        <v>42</v>
      </c>
      <c r="G76" s="14" t="s">
        <v>43</v>
      </c>
      <c r="H76" s="14" t="s">
        <v>8</v>
      </c>
      <c r="I76" s="15" t="n">
        <v>46391</v>
      </c>
      <c r="J76" s="15" t="n">
        <v>46423</v>
      </c>
      <c r="K76" s="16" t="n">
        <v>0</v>
      </c>
      <c r="L76" s="14" t="s">
        <v>416</v>
      </c>
      <c r="M76" s="14" t="s">
        <v>424</v>
      </c>
      <c r="N76" s="14"/>
      <c r="O76" s="14" t="n">
        <f aca="true">IF(H76="Done",0,IF(J76&lt;TODAY(),"OVERDUE",J76-TODAY()))</f>
        <v>138</v>
      </c>
      <c r="P76" s="17" t="str">
        <f aca="true">IF(H76="Blocked","RED",IF(H76="Done","GREEN",IF(J76&lt;TODAY(),"RED",IF(J76-TODAY()&lt;=7,"AMBER","GREEN"))))</f>
        <v>GREEN</v>
      </c>
    </row>
    <row r="77" customFormat="false" ht="15" hidden="false" customHeight="false" outlineLevel="0" collapsed="false">
      <c r="A77" s="3" t="s">
        <v>425</v>
      </c>
      <c r="B77" s="3" t="n">
        <v>10</v>
      </c>
      <c r="C77" s="18" t="s">
        <v>61</v>
      </c>
      <c r="D77" s="3" t="s">
        <v>426</v>
      </c>
      <c r="E77" s="3" t="s">
        <v>427</v>
      </c>
      <c r="F77" s="18" t="s">
        <v>42</v>
      </c>
      <c r="G77" s="18" t="s">
        <v>43</v>
      </c>
      <c r="H77" s="18" t="s">
        <v>8</v>
      </c>
      <c r="I77" s="9" t="n">
        <v>46398</v>
      </c>
      <c r="J77" s="9" t="n">
        <v>46430</v>
      </c>
      <c r="K77" s="7" t="n">
        <v>0</v>
      </c>
      <c r="L77" s="3" t="s">
        <v>416</v>
      </c>
      <c r="M77" s="3" t="s">
        <v>424</v>
      </c>
      <c r="N77" s="3"/>
      <c r="O77" s="3" t="n">
        <f aca="true">IF(H77="Done",0,IF(J77&lt;TODAY(),"OVERDUE",J77-TODAY()))</f>
        <v>145</v>
      </c>
      <c r="P77" s="3" t="str">
        <f aca="true">IF(H77="Blocked","RED",IF(H77="Done","GREEN",IF(J77&lt;TODAY(),"RED",IF(J77-TODAY()&lt;=7,"AMBER","GREEN"))))</f>
        <v>GREEN</v>
      </c>
    </row>
    <row r="78" customFormat="false" ht="15" hidden="false" customHeight="false" outlineLevel="0" collapsed="false">
      <c r="A78" s="14" t="s">
        <v>428</v>
      </c>
      <c r="B78" s="14" t="n">
        <v>10</v>
      </c>
      <c r="C78" s="14" t="s">
        <v>61</v>
      </c>
      <c r="D78" s="14" t="s">
        <v>429</v>
      </c>
      <c r="E78" s="14" t="s">
        <v>427</v>
      </c>
      <c r="F78" s="14" t="s">
        <v>42</v>
      </c>
      <c r="G78" s="14" t="s">
        <v>43</v>
      </c>
      <c r="H78" s="14" t="s">
        <v>8</v>
      </c>
      <c r="I78" s="15" t="n">
        <v>46405</v>
      </c>
      <c r="J78" s="15" t="n">
        <v>46437</v>
      </c>
      <c r="K78" s="16" t="n">
        <v>0</v>
      </c>
      <c r="L78" s="14" t="s">
        <v>416</v>
      </c>
      <c r="M78" s="14" t="s">
        <v>424</v>
      </c>
      <c r="N78" s="14"/>
      <c r="O78" s="14" t="n">
        <f aca="true">IF(H78="Done",0,IF(J78&lt;TODAY(),"OVERDUE",J78-TODAY()))</f>
        <v>152</v>
      </c>
      <c r="P78" s="17" t="str">
        <f aca="true">IF(H78="Blocked","RED",IF(H78="Done","GREEN",IF(J78&lt;TODAY(),"RED",IF(J78-TODAY()&lt;=7,"AMBER","GREEN"))))</f>
        <v>GREEN</v>
      </c>
    </row>
    <row r="79" customFormat="false" ht="28.35" hidden="false" customHeight="false" outlineLevel="0" collapsed="false">
      <c r="A79" s="3" t="s">
        <v>430</v>
      </c>
      <c r="B79" s="3" t="n">
        <v>10</v>
      </c>
      <c r="C79" s="18" t="s">
        <v>61</v>
      </c>
      <c r="D79" s="3" t="s">
        <v>431</v>
      </c>
      <c r="E79" s="3" t="s">
        <v>432</v>
      </c>
      <c r="F79" s="18" t="s">
        <v>42</v>
      </c>
      <c r="G79" s="18" t="s">
        <v>40</v>
      </c>
      <c r="H79" s="18" t="s">
        <v>8</v>
      </c>
      <c r="I79" s="9" t="n">
        <v>46440</v>
      </c>
      <c r="J79" s="9" t="n">
        <v>46472</v>
      </c>
      <c r="K79" s="7" t="n">
        <v>0</v>
      </c>
      <c r="L79" s="3" t="s">
        <v>433</v>
      </c>
      <c r="M79" s="3" t="s">
        <v>434</v>
      </c>
      <c r="N79" s="3" t="s">
        <v>435</v>
      </c>
      <c r="O79" s="3" t="n">
        <f aca="true">IF(H79="Done",0,IF(J79&lt;TODAY(),"OVERDUE",J79-TODAY()))</f>
        <v>187</v>
      </c>
      <c r="P79" s="3" t="str">
        <f aca="true">IF(H79="Blocked","RED",IF(H79="Done","GREEN",IF(J79&lt;TODAY(),"RED",IF(J79-TODAY()&lt;=7,"AMBER","GREEN"))))</f>
        <v>GREEN</v>
      </c>
    </row>
    <row r="80" customFormat="false" ht="28.35" hidden="false" customHeight="false" outlineLevel="0" collapsed="false">
      <c r="A80" s="14" t="s">
        <v>436</v>
      </c>
      <c r="B80" s="14" t="n">
        <v>10</v>
      </c>
      <c r="C80" s="14" t="s">
        <v>60</v>
      </c>
      <c r="D80" s="14" t="s">
        <v>437</v>
      </c>
      <c r="E80" s="14" t="s">
        <v>438</v>
      </c>
      <c r="F80" s="14" t="s">
        <v>59</v>
      </c>
      <c r="G80" s="14" t="s">
        <v>40</v>
      </c>
      <c r="H80" s="14" t="s">
        <v>8</v>
      </c>
      <c r="I80" s="15" t="n">
        <v>46419</v>
      </c>
      <c r="J80" s="15" t="n">
        <v>46444</v>
      </c>
      <c r="K80" s="16" t="n">
        <v>0</v>
      </c>
      <c r="L80" s="14" t="s">
        <v>405</v>
      </c>
      <c r="M80" s="14" t="s">
        <v>439</v>
      </c>
      <c r="N80" s="14" t="s">
        <v>440</v>
      </c>
      <c r="O80" s="14" t="n">
        <f aca="true">IF(H80="Done",0,IF(J80&lt;TODAY(),"OVERDUE",J80-TODAY()))</f>
        <v>159</v>
      </c>
      <c r="P80" s="17" t="str">
        <f aca="true">IF(H80="Blocked","RED",IF(H80="Done","GREEN",IF(J80&lt;TODAY(),"RED",IF(J80-TODAY()&lt;=7,"AMBER","GREEN"))))</f>
        <v>GREEN</v>
      </c>
    </row>
    <row r="81" customFormat="false" ht="28.35" hidden="false" customHeight="false" outlineLevel="0" collapsed="false">
      <c r="A81" s="3" t="s">
        <v>441</v>
      </c>
      <c r="B81" s="3" t="n">
        <v>10</v>
      </c>
      <c r="C81" s="18" t="s">
        <v>61</v>
      </c>
      <c r="D81" s="3" t="s">
        <v>442</v>
      </c>
      <c r="E81" s="3" t="s">
        <v>443</v>
      </c>
      <c r="F81" s="18" t="s">
        <v>42</v>
      </c>
      <c r="G81" s="18" t="s">
        <v>46</v>
      </c>
      <c r="H81" s="18" t="s">
        <v>8</v>
      </c>
      <c r="I81" s="9" t="n">
        <v>46398</v>
      </c>
      <c r="J81" s="9" t="n">
        <v>46444</v>
      </c>
      <c r="K81" s="7" t="n">
        <v>0</v>
      </c>
      <c r="L81" s="3"/>
      <c r="M81" s="3" t="s">
        <v>444</v>
      </c>
      <c r="N81" s="3" t="s">
        <v>445</v>
      </c>
      <c r="O81" s="3" t="n">
        <f aca="true">IF(H81="Done",0,IF(J81&lt;TODAY(),"OVERDUE",J81-TODAY()))</f>
        <v>159</v>
      </c>
      <c r="P81" s="3" t="str">
        <f aca="true">IF(H81="Blocked","RED",IF(H81="Done","GREEN",IF(J81&lt;TODAY(),"RED",IF(J81-TODAY()&lt;=7,"AMBER","GREEN"))))</f>
        <v>GREEN</v>
      </c>
    </row>
    <row r="82" customFormat="false" ht="28.35" hidden="false" customHeight="false" outlineLevel="0" collapsed="false">
      <c r="A82" s="14" t="s">
        <v>446</v>
      </c>
      <c r="B82" s="14" t="n">
        <v>9</v>
      </c>
      <c r="C82" s="14" t="s">
        <v>56</v>
      </c>
      <c r="D82" s="14" t="s">
        <v>447</v>
      </c>
      <c r="E82" s="14" t="s">
        <v>448</v>
      </c>
      <c r="F82" s="14" t="s">
        <v>45</v>
      </c>
      <c r="G82" s="14" t="s">
        <v>46</v>
      </c>
      <c r="H82" s="14" t="s">
        <v>15</v>
      </c>
      <c r="I82" s="15" t="n">
        <v>46419</v>
      </c>
      <c r="J82" s="15" t="n">
        <v>46430</v>
      </c>
      <c r="K82" s="16" t="n">
        <v>0</v>
      </c>
      <c r="L82" s="14" t="s">
        <v>421</v>
      </c>
      <c r="M82" s="14" t="s">
        <v>449</v>
      </c>
      <c r="N82" s="14" t="s">
        <v>304</v>
      </c>
      <c r="O82" s="14" t="n">
        <f aca="true">IF(H82="Done",0,IF(J82&lt;TODAY(),"OVERDUE",J82-TODAY()))</f>
        <v>145</v>
      </c>
      <c r="P82" s="17" t="str">
        <f aca="true">IF(H82="Blocked","RED",IF(H82="Done","GREEN",IF(J82&lt;TODAY(),"RED",IF(J82-TODAY()&lt;=7,"AMBER","GREEN"))))</f>
        <v>GREEN</v>
      </c>
    </row>
    <row r="83" customFormat="false" ht="28.35" hidden="false" customHeight="false" outlineLevel="0" collapsed="false">
      <c r="A83" s="3" t="s">
        <v>450</v>
      </c>
      <c r="B83" s="3" t="n">
        <v>9</v>
      </c>
      <c r="C83" s="18" t="s">
        <v>56</v>
      </c>
      <c r="D83" s="3" t="s">
        <v>451</v>
      </c>
      <c r="E83" s="3" t="s">
        <v>452</v>
      </c>
      <c r="F83" s="18" t="s">
        <v>45</v>
      </c>
      <c r="G83" s="18" t="s">
        <v>49</v>
      </c>
      <c r="H83" s="18" t="s">
        <v>15</v>
      </c>
      <c r="I83" s="9" t="n">
        <v>46433</v>
      </c>
      <c r="J83" s="9" t="n">
        <v>46444</v>
      </c>
      <c r="K83" s="7" t="n">
        <v>0</v>
      </c>
      <c r="L83" s="3" t="s">
        <v>421</v>
      </c>
      <c r="M83" s="3" t="s">
        <v>449</v>
      </c>
      <c r="N83" s="3" t="s">
        <v>304</v>
      </c>
      <c r="O83" s="3" t="n">
        <f aca="true">IF(H83="Done",0,IF(J83&lt;TODAY(),"OVERDUE",J83-TODAY()))</f>
        <v>159</v>
      </c>
      <c r="P83" s="3" t="str">
        <f aca="true">IF(H83="Blocked","RED",IF(H83="Done","GREEN",IF(J83&lt;TODAY(),"RED",IF(J83-TODAY()&lt;=7,"AMBER","GREEN"))))</f>
        <v>GREEN</v>
      </c>
    </row>
    <row r="84" customFormat="false" ht="28.35" hidden="false" customHeight="false" outlineLevel="0" collapsed="false">
      <c r="A84" s="14" t="s">
        <v>453</v>
      </c>
      <c r="B84" s="14" t="n">
        <v>9</v>
      </c>
      <c r="C84" s="14" t="s">
        <v>56</v>
      </c>
      <c r="D84" s="14" t="s">
        <v>454</v>
      </c>
      <c r="E84" s="14" t="s">
        <v>455</v>
      </c>
      <c r="F84" s="14" t="s">
        <v>45</v>
      </c>
      <c r="G84" s="14" t="s">
        <v>46</v>
      </c>
      <c r="H84" s="14" t="s">
        <v>15</v>
      </c>
      <c r="I84" s="15" t="n">
        <v>46447</v>
      </c>
      <c r="J84" s="15" t="n">
        <v>46458</v>
      </c>
      <c r="K84" s="16" t="n">
        <v>0</v>
      </c>
      <c r="L84" s="14" t="s">
        <v>441</v>
      </c>
      <c r="M84" s="14" t="s">
        <v>456</v>
      </c>
      <c r="N84" s="14" t="s">
        <v>304</v>
      </c>
      <c r="O84" s="14" t="n">
        <f aca="true">IF(H84="Done",0,IF(J84&lt;TODAY(),"OVERDUE",J84-TODAY()))</f>
        <v>173</v>
      </c>
      <c r="P84" s="17" t="str">
        <f aca="true">IF(H84="Blocked","RED",IF(H84="Done","GREEN",IF(J84&lt;TODAY(),"RED",IF(J84-TODAY()&lt;=7,"AMBER","GREEN"))))</f>
        <v>GREEN</v>
      </c>
    </row>
    <row r="85" customFormat="false" ht="28.35" hidden="false" customHeight="false" outlineLevel="0" collapsed="false">
      <c r="A85" s="3" t="s">
        <v>457</v>
      </c>
      <c r="B85" s="3" t="n">
        <v>9</v>
      </c>
      <c r="C85" s="18" t="s">
        <v>56</v>
      </c>
      <c r="D85" s="3" t="s">
        <v>458</v>
      </c>
      <c r="E85" s="3" t="s">
        <v>459</v>
      </c>
      <c r="F85" s="18" t="s">
        <v>45</v>
      </c>
      <c r="G85" s="18" t="s">
        <v>46</v>
      </c>
      <c r="H85" s="18" t="s">
        <v>15</v>
      </c>
      <c r="I85" s="9" t="n">
        <v>46461</v>
      </c>
      <c r="J85" s="9" t="n">
        <v>46472</v>
      </c>
      <c r="K85" s="7" t="n">
        <v>0</v>
      </c>
      <c r="L85" s="3" t="s">
        <v>460</v>
      </c>
      <c r="M85" s="3" t="s">
        <v>461</v>
      </c>
      <c r="N85" s="3"/>
      <c r="O85" s="3" t="n">
        <f aca="true">IF(H85="Done",0,IF(J85&lt;TODAY(),"OVERDUE",J85-TODAY()))</f>
        <v>187</v>
      </c>
      <c r="P85" s="3" t="str">
        <f aca="true">IF(H85="Blocked","RED",IF(H85="Done","GREEN",IF(J85&lt;TODAY(),"RED",IF(J85-TODAY()&lt;=7,"AMBER","GREEN"))))</f>
        <v>GREEN</v>
      </c>
    </row>
    <row r="86" customFormat="false" ht="28.35" hidden="false" customHeight="false" outlineLevel="0" collapsed="false">
      <c r="A86" s="14" t="s">
        <v>462</v>
      </c>
      <c r="B86" s="14" t="n">
        <v>8</v>
      </c>
      <c r="C86" s="14" t="s">
        <v>54</v>
      </c>
      <c r="D86" s="14" t="s">
        <v>463</v>
      </c>
      <c r="E86" s="14" t="s">
        <v>464</v>
      </c>
      <c r="F86" s="14" t="s">
        <v>45</v>
      </c>
      <c r="G86" s="14" t="s">
        <v>49</v>
      </c>
      <c r="H86" s="14" t="s">
        <v>15</v>
      </c>
      <c r="I86" s="15" t="n">
        <v>46482</v>
      </c>
      <c r="J86" s="15" t="n">
        <v>46500</v>
      </c>
      <c r="K86" s="16" t="n">
        <v>0</v>
      </c>
      <c r="L86" s="14" t="s">
        <v>430</v>
      </c>
      <c r="M86" s="14" t="s">
        <v>465</v>
      </c>
      <c r="N86" s="14" t="s">
        <v>466</v>
      </c>
      <c r="O86" s="14" t="n">
        <f aca="true">IF(H86="Done",0,IF(J86&lt;TODAY(),"OVERDUE",J86-TODAY()))</f>
        <v>215</v>
      </c>
      <c r="P86" s="17" t="str">
        <f aca="true">IF(H86="Blocked","RED",IF(H86="Done","GREEN",IF(J86&lt;TODAY(),"RED",IF(J86-TODAY()&lt;=7,"AMBER","GREEN"))))</f>
        <v>GREEN</v>
      </c>
    </row>
    <row r="87" customFormat="false" ht="28.35" hidden="false" customHeight="false" outlineLevel="0" collapsed="false">
      <c r="A87" s="3" t="s">
        <v>467</v>
      </c>
      <c r="B87" s="3" t="n">
        <v>8</v>
      </c>
      <c r="C87" s="18" t="s">
        <v>54</v>
      </c>
      <c r="D87" s="3" t="s">
        <v>468</v>
      </c>
      <c r="E87" s="3" t="s">
        <v>469</v>
      </c>
      <c r="F87" s="18" t="s">
        <v>45</v>
      </c>
      <c r="G87" s="18" t="s">
        <v>49</v>
      </c>
      <c r="H87" s="18" t="s">
        <v>15</v>
      </c>
      <c r="I87" s="9" t="n">
        <v>46503</v>
      </c>
      <c r="J87" s="9" t="n">
        <v>46535</v>
      </c>
      <c r="K87" s="7" t="n">
        <v>0</v>
      </c>
      <c r="L87" s="3" t="s">
        <v>462</v>
      </c>
      <c r="M87" s="3" t="s">
        <v>470</v>
      </c>
      <c r="N87" s="3" t="s">
        <v>466</v>
      </c>
      <c r="O87" s="3" t="n">
        <f aca="true">IF(H87="Done",0,IF(J87&lt;TODAY(),"OVERDUE",J87-TODAY()))</f>
        <v>250</v>
      </c>
      <c r="P87" s="3" t="str">
        <f aca="true">IF(H87="Blocked","RED",IF(H87="Done","GREEN",IF(J87&lt;TODAY(),"RED",IF(J87-TODAY()&lt;=7,"AMBER","GREEN"))))</f>
        <v>GREEN</v>
      </c>
    </row>
    <row r="88" customFormat="false" ht="28.35" hidden="false" customHeight="false" outlineLevel="0" collapsed="false">
      <c r="A88" s="14" t="s">
        <v>471</v>
      </c>
      <c r="B88" s="14" t="n">
        <v>11</v>
      </c>
      <c r="C88" s="14" t="s">
        <v>41</v>
      </c>
      <c r="D88" s="14" t="s">
        <v>472</v>
      </c>
      <c r="E88" s="14" t="s">
        <v>473</v>
      </c>
      <c r="F88" s="14" t="s">
        <v>45</v>
      </c>
      <c r="G88" s="14" t="s">
        <v>46</v>
      </c>
      <c r="H88" s="14" t="s">
        <v>8</v>
      </c>
      <c r="I88" s="15" t="n">
        <v>46482</v>
      </c>
      <c r="J88" s="15" t="n">
        <v>46500</v>
      </c>
      <c r="K88" s="16" t="n">
        <v>0</v>
      </c>
      <c r="L88" s="14" t="s">
        <v>430</v>
      </c>
      <c r="M88" s="14" t="s">
        <v>474</v>
      </c>
      <c r="N88" s="14"/>
      <c r="O88" s="14" t="n">
        <f aca="true">IF(H88="Done",0,IF(J88&lt;TODAY(),"OVERDUE",J88-TODAY()))</f>
        <v>215</v>
      </c>
      <c r="P88" s="17" t="str">
        <f aca="true">IF(H88="Blocked","RED",IF(H88="Done","GREEN",IF(J88&lt;TODAY(),"RED",IF(J88-TODAY()&lt;=7,"AMBER","GREEN"))))</f>
        <v>GREEN</v>
      </c>
    </row>
    <row r="89" customFormat="false" ht="28.35" hidden="false" customHeight="false" outlineLevel="0" collapsed="false">
      <c r="A89" s="3" t="s">
        <v>475</v>
      </c>
      <c r="B89" s="3" t="n">
        <v>11</v>
      </c>
      <c r="C89" s="18" t="s">
        <v>61</v>
      </c>
      <c r="D89" s="3" t="s">
        <v>476</v>
      </c>
      <c r="E89" s="3" t="s">
        <v>477</v>
      </c>
      <c r="F89" s="18" t="s">
        <v>42</v>
      </c>
      <c r="G89" s="18" t="s">
        <v>43</v>
      </c>
      <c r="H89" s="18" t="s">
        <v>8</v>
      </c>
      <c r="I89" s="9" t="n">
        <v>46482</v>
      </c>
      <c r="J89" s="9" t="n">
        <v>46521</v>
      </c>
      <c r="K89" s="7" t="n">
        <v>0</v>
      </c>
      <c r="L89" s="3" t="s">
        <v>430</v>
      </c>
      <c r="M89" s="3" t="s">
        <v>478</v>
      </c>
      <c r="N89" s="3" t="s">
        <v>479</v>
      </c>
      <c r="O89" s="3" t="n">
        <f aca="true">IF(H89="Done",0,IF(J89&lt;TODAY(),"OVERDUE",J89-TODAY()))</f>
        <v>236</v>
      </c>
      <c r="P89" s="3" t="str">
        <f aca="true">IF(H89="Blocked","RED",IF(H89="Done","GREEN",IF(J89&lt;TODAY(),"RED",IF(J89-TODAY()&lt;=7,"AMBER","GREEN"))))</f>
        <v>GREEN</v>
      </c>
    </row>
    <row r="90" customFormat="false" ht="28.35" hidden="false" customHeight="false" outlineLevel="0" collapsed="false">
      <c r="A90" s="14" t="s">
        <v>480</v>
      </c>
      <c r="B90" s="14" t="n">
        <v>11</v>
      </c>
      <c r="C90" s="14" t="s">
        <v>41</v>
      </c>
      <c r="D90" s="14" t="s">
        <v>481</v>
      </c>
      <c r="E90" s="14" t="s">
        <v>482</v>
      </c>
      <c r="F90" s="14" t="s">
        <v>42</v>
      </c>
      <c r="G90" s="14" t="s">
        <v>43</v>
      </c>
      <c r="H90" s="14" t="s">
        <v>8</v>
      </c>
      <c r="I90" s="15" t="n">
        <v>46524</v>
      </c>
      <c r="J90" s="15" t="n">
        <v>46538</v>
      </c>
      <c r="K90" s="16" t="n">
        <v>0</v>
      </c>
      <c r="L90" s="14" t="s">
        <v>475</v>
      </c>
      <c r="M90" s="14" t="s">
        <v>483</v>
      </c>
      <c r="N90" s="14" t="s">
        <v>484</v>
      </c>
      <c r="O90" s="14" t="n">
        <f aca="true">IF(H90="Done",0,IF(J90&lt;TODAY(),"OVERDUE",J90-TODAY()))</f>
        <v>253</v>
      </c>
      <c r="P90" s="17" t="str">
        <f aca="true">IF(H90="Blocked","RED",IF(H90="Done","GREEN",IF(J90&lt;TODAY(),"RED",IF(J90-TODAY()&lt;=7,"AMBER","GREEN"))))</f>
        <v>GREEN</v>
      </c>
    </row>
    <row r="91" customFormat="false" ht="28.35" hidden="false" customHeight="false" outlineLevel="0" collapsed="false">
      <c r="A91" s="3" t="s">
        <v>485</v>
      </c>
      <c r="B91" s="3" t="n">
        <v>11</v>
      </c>
      <c r="C91" s="18" t="s">
        <v>60</v>
      </c>
      <c r="D91" s="3" t="s">
        <v>486</v>
      </c>
      <c r="E91" s="3" t="s">
        <v>487</v>
      </c>
      <c r="F91" s="18" t="s">
        <v>59</v>
      </c>
      <c r="G91" s="18" t="s">
        <v>43</v>
      </c>
      <c r="H91" s="18" t="s">
        <v>8</v>
      </c>
      <c r="I91" s="9" t="n">
        <v>46510</v>
      </c>
      <c r="J91" s="9" t="n">
        <v>46520</v>
      </c>
      <c r="K91" s="7" t="n">
        <v>0</v>
      </c>
      <c r="L91" s="3" t="s">
        <v>405</v>
      </c>
      <c r="M91" s="3" t="s">
        <v>488</v>
      </c>
      <c r="N91" s="3" t="s">
        <v>489</v>
      </c>
      <c r="O91" s="3" t="n">
        <f aca="true">IF(H91="Done",0,IF(J91&lt;TODAY(),"OVERDUE",J91-TODAY()))</f>
        <v>235</v>
      </c>
      <c r="P91" s="3" t="str">
        <f aca="true">IF(H91="Blocked","RED",IF(H91="Done","GREEN",IF(J91&lt;TODAY(),"RED",IF(J91-TODAY()&lt;=7,"AMBER","GREEN"))))</f>
        <v>GREEN</v>
      </c>
    </row>
  </sheetData>
  <autoFilter ref="A1:P91"/>
  <conditionalFormatting sqref="H2:H91">
    <cfRule type="expression" priority="2" aboveAverage="0" equalAverage="0" bottom="0" percent="0" rank="0" text="" dxfId="7">
      <formula>H2="Done"</formula>
    </cfRule>
  </conditionalFormatting>
  <conditionalFormatting sqref="K2:K9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91">
    <cfRule type="expression" priority="4" aboveAverage="0" equalAverage="0" bottom="0" percent="0" rank="0" text="" dxfId="8">
      <formula>P2="RED"</formula>
    </cfRule>
    <cfRule type="expression" priority="5" aboveAverage="0" equalAverage="0" bottom="0" percent="0" rank="0" text="" dxfId="9">
      <formula>P2="AMBER"</formula>
    </cfRule>
  </conditionalFormatting>
  <dataValidations count="4">
    <dataValidation allowBlank="false" errorStyle="stop" operator="between" showDropDown="false" showErrorMessage="false" showInputMessage="false" sqref="H2:H200" type="list">
      <formula1>Lists!$A$2:$A$6</formula1>
      <formula2>0</formula2>
    </dataValidation>
    <dataValidation allowBlank="false" errorStyle="stop" operator="between" showDropDown="false" showErrorMessage="false" showInputMessage="false" sqref="G2:G200" type="list">
      <formula1>Lists!$B$2:$B$5</formula1>
      <formula2>0</formula2>
    </dataValidation>
    <dataValidation allowBlank="false" errorStyle="stop" operator="between" showDropDown="false" showErrorMessage="false" showInputMessage="false" sqref="C2:C200" type="list">
      <formula1>Lists!$C$2:$C$12</formula1>
      <formula2>0</formula2>
    </dataValidation>
    <dataValidation allowBlank="false" errorStyle="stop" operator="between" showDropDown="false" showErrorMessage="false" showInputMessage="false" sqref="F2:F200" type="list">
      <formula1>Lists!$D$2:$D$9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&amp;CFormiva Project Management Dashboard | &amp;P of &amp;N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32"/>
    <col collapsed="false" customWidth="true" hidden="false" outlineLevel="0" max="7" min="6" style="0" width="35"/>
    <col collapsed="false" customWidth="true" hidden="false" outlineLevel="0" max="8" min="8" style="0" width="30"/>
    <col collapsed="false" customWidth="true" hidden="false" outlineLevel="0" max="9" min="9" style="0" width="32"/>
    <col collapsed="false" customWidth="true" hidden="false" outlineLevel="0" max="10" min="10" style="0" width="15"/>
    <col collapsed="false" customWidth="true" hidden="false" outlineLevel="0" max="11" min="11" style="0" width="35"/>
  </cols>
  <sheetData>
    <row r="1" customFormat="false" ht="28.35" hidden="false" customHeight="false" outlineLevel="0" collapsed="false">
      <c r="A1" s="13" t="s">
        <v>490</v>
      </c>
      <c r="B1" s="13" t="s">
        <v>491</v>
      </c>
      <c r="C1" s="13" t="s">
        <v>492</v>
      </c>
      <c r="D1" s="13" t="s">
        <v>493</v>
      </c>
      <c r="E1" s="13" t="s">
        <v>494</v>
      </c>
      <c r="F1" s="13" t="s">
        <v>495</v>
      </c>
      <c r="G1" s="13" t="s">
        <v>496</v>
      </c>
      <c r="H1" s="13" t="s">
        <v>497</v>
      </c>
      <c r="I1" s="13" t="s">
        <v>498</v>
      </c>
      <c r="J1" s="13" t="s">
        <v>38</v>
      </c>
      <c r="K1" s="13" t="s">
        <v>499</v>
      </c>
    </row>
    <row r="2" customFormat="false" ht="15" hidden="false" customHeight="false" outlineLevel="0" collapsed="false">
      <c r="A2" s="15" t="n">
        <v>46286</v>
      </c>
      <c r="B2" s="14" t="s">
        <v>500</v>
      </c>
      <c r="C2" s="14" t="s">
        <v>8</v>
      </c>
      <c r="D2" s="16" t="n">
        <v>0</v>
      </c>
      <c r="E2" s="14"/>
      <c r="F2" s="14"/>
      <c r="G2" s="14"/>
      <c r="H2" s="14"/>
      <c r="I2" s="14"/>
      <c r="J2" s="14" t="s">
        <v>42</v>
      </c>
      <c r="K2" s="14"/>
    </row>
    <row r="3" customFormat="false" ht="15" hidden="false" customHeight="false" outlineLevel="0" collapsed="false">
      <c r="A3" s="9" t="n">
        <v>46287</v>
      </c>
      <c r="B3" s="3" t="s">
        <v>501</v>
      </c>
      <c r="C3" s="18" t="s">
        <v>8</v>
      </c>
      <c r="D3" s="7" t="n">
        <v>0</v>
      </c>
      <c r="E3" s="3"/>
      <c r="F3" s="3"/>
      <c r="G3" s="3"/>
      <c r="H3" s="3"/>
      <c r="I3" s="3"/>
      <c r="J3" s="3" t="s">
        <v>42</v>
      </c>
      <c r="K3" s="3"/>
    </row>
    <row r="4" customFormat="false" ht="15" hidden="false" customHeight="false" outlineLevel="0" collapsed="false">
      <c r="A4" s="15" t="n">
        <v>46288</v>
      </c>
      <c r="B4" s="14" t="s">
        <v>502</v>
      </c>
      <c r="C4" s="14" t="s">
        <v>8</v>
      </c>
      <c r="D4" s="16" t="n">
        <v>0</v>
      </c>
      <c r="E4" s="14"/>
      <c r="F4" s="14"/>
      <c r="G4" s="14"/>
      <c r="H4" s="14"/>
      <c r="I4" s="14"/>
      <c r="J4" s="14" t="s">
        <v>42</v>
      </c>
      <c r="K4" s="14"/>
    </row>
    <row r="5" customFormat="false" ht="15" hidden="false" customHeight="false" outlineLevel="0" collapsed="false">
      <c r="A5" s="9" t="n">
        <v>46289</v>
      </c>
      <c r="B5" s="3" t="s">
        <v>503</v>
      </c>
      <c r="C5" s="18" t="s">
        <v>8</v>
      </c>
      <c r="D5" s="7" t="n">
        <v>0</v>
      </c>
      <c r="E5" s="3"/>
      <c r="F5" s="3"/>
      <c r="G5" s="3"/>
      <c r="H5" s="3"/>
      <c r="I5" s="3"/>
      <c r="J5" s="3" t="s">
        <v>42</v>
      </c>
      <c r="K5" s="3"/>
    </row>
    <row r="6" customFormat="false" ht="15" hidden="false" customHeight="false" outlineLevel="0" collapsed="false">
      <c r="A6" s="15" t="n">
        <v>46290</v>
      </c>
      <c r="B6" s="14" t="s">
        <v>504</v>
      </c>
      <c r="C6" s="14" t="s">
        <v>8</v>
      </c>
      <c r="D6" s="16" t="n">
        <v>0</v>
      </c>
      <c r="E6" s="14"/>
      <c r="F6" s="14"/>
      <c r="G6" s="14"/>
      <c r="H6" s="14"/>
      <c r="I6" s="14"/>
      <c r="J6" s="14" t="s">
        <v>42</v>
      </c>
      <c r="K6" s="14"/>
    </row>
    <row r="7" customFormat="false" ht="15" hidden="false" customHeight="false" outlineLevel="0" collapsed="false">
      <c r="A7" s="9" t="n">
        <v>46291</v>
      </c>
      <c r="B7" s="3" t="s">
        <v>505</v>
      </c>
      <c r="C7" s="18" t="s">
        <v>8</v>
      </c>
      <c r="D7" s="7" t="n">
        <v>0</v>
      </c>
      <c r="E7" s="3"/>
      <c r="F7" s="3"/>
      <c r="G7" s="3"/>
      <c r="H7" s="3"/>
      <c r="I7" s="3"/>
      <c r="J7" s="3" t="s">
        <v>42</v>
      </c>
      <c r="K7" s="3"/>
    </row>
    <row r="8" customFormat="false" ht="15" hidden="false" customHeight="false" outlineLevel="0" collapsed="false">
      <c r="A8" s="15" t="n">
        <v>46292</v>
      </c>
      <c r="B8" s="14" t="s">
        <v>506</v>
      </c>
      <c r="C8" s="14" t="s">
        <v>8</v>
      </c>
      <c r="D8" s="16" t="n">
        <v>0</v>
      </c>
      <c r="E8" s="14"/>
      <c r="F8" s="14"/>
      <c r="G8" s="14"/>
      <c r="H8" s="14"/>
      <c r="I8" s="14"/>
      <c r="J8" s="14" t="s">
        <v>42</v>
      </c>
      <c r="K8" s="14"/>
    </row>
    <row r="9" customFormat="false" ht="15" hidden="false" customHeight="false" outlineLevel="0" collapsed="false">
      <c r="A9" s="9" t="n">
        <v>46293</v>
      </c>
      <c r="B9" s="3" t="s">
        <v>500</v>
      </c>
      <c r="C9" s="18" t="s">
        <v>8</v>
      </c>
      <c r="D9" s="7" t="n">
        <v>0</v>
      </c>
      <c r="E9" s="3"/>
      <c r="F9" s="3"/>
      <c r="G9" s="3"/>
      <c r="H9" s="3"/>
      <c r="I9" s="3"/>
      <c r="J9" s="3" t="s">
        <v>42</v>
      </c>
      <c r="K9" s="3"/>
    </row>
    <row r="10" customFormat="false" ht="15" hidden="false" customHeight="false" outlineLevel="0" collapsed="false">
      <c r="A10" s="15" t="n">
        <v>46294</v>
      </c>
      <c r="B10" s="14" t="s">
        <v>501</v>
      </c>
      <c r="C10" s="14" t="s">
        <v>8</v>
      </c>
      <c r="D10" s="16" t="n">
        <v>0</v>
      </c>
      <c r="E10" s="14"/>
      <c r="F10" s="14"/>
      <c r="G10" s="14"/>
      <c r="H10" s="14"/>
      <c r="I10" s="14"/>
      <c r="J10" s="14" t="s">
        <v>42</v>
      </c>
      <c r="K10" s="14"/>
    </row>
    <row r="11" customFormat="false" ht="15" hidden="false" customHeight="false" outlineLevel="0" collapsed="false">
      <c r="A11" s="9" t="n">
        <v>46295</v>
      </c>
      <c r="B11" s="3" t="s">
        <v>502</v>
      </c>
      <c r="C11" s="18" t="s">
        <v>8</v>
      </c>
      <c r="D11" s="7" t="n">
        <v>0</v>
      </c>
      <c r="E11" s="3"/>
      <c r="F11" s="3"/>
      <c r="G11" s="3"/>
      <c r="H11" s="3"/>
      <c r="I11" s="3"/>
      <c r="J11" s="3" t="s">
        <v>42</v>
      </c>
      <c r="K11" s="3"/>
    </row>
    <row r="12" customFormat="false" ht="15" hidden="false" customHeight="false" outlineLevel="0" collapsed="false">
      <c r="A12" s="15" t="n">
        <v>46296</v>
      </c>
      <c r="B12" s="14" t="s">
        <v>503</v>
      </c>
      <c r="C12" s="14" t="s">
        <v>8</v>
      </c>
      <c r="D12" s="16" t="n">
        <v>0</v>
      </c>
      <c r="E12" s="14"/>
      <c r="F12" s="14"/>
      <c r="G12" s="14"/>
      <c r="H12" s="14"/>
      <c r="I12" s="14"/>
      <c r="J12" s="14" t="s">
        <v>42</v>
      </c>
      <c r="K12" s="14"/>
    </row>
    <row r="13" customFormat="false" ht="15" hidden="false" customHeight="false" outlineLevel="0" collapsed="false">
      <c r="A13" s="9" t="n">
        <v>46297</v>
      </c>
      <c r="B13" s="3" t="s">
        <v>504</v>
      </c>
      <c r="C13" s="18" t="s">
        <v>8</v>
      </c>
      <c r="D13" s="7" t="n">
        <v>0</v>
      </c>
      <c r="E13" s="3"/>
      <c r="F13" s="3"/>
      <c r="G13" s="3"/>
      <c r="H13" s="3"/>
      <c r="I13" s="3"/>
      <c r="J13" s="3" t="s">
        <v>42</v>
      </c>
      <c r="K13" s="3"/>
    </row>
    <row r="14" customFormat="false" ht="15" hidden="false" customHeight="false" outlineLevel="0" collapsed="false">
      <c r="A14" s="15" t="n">
        <v>46298</v>
      </c>
      <c r="B14" s="14" t="s">
        <v>505</v>
      </c>
      <c r="C14" s="14" t="s">
        <v>8</v>
      </c>
      <c r="D14" s="16" t="n">
        <v>0</v>
      </c>
      <c r="E14" s="14"/>
      <c r="F14" s="14"/>
      <c r="G14" s="14"/>
      <c r="H14" s="14"/>
      <c r="I14" s="14"/>
      <c r="J14" s="14" t="s">
        <v>42</v>
      </c>
      <c r="K14" s="14"/>
    </row>
    <row r="15" customFormat="false" ht="15" hidden="false" customHeight="false" outlineLevel="0" collapsed="false">
      <c r="A15" s="9" t="n">
        <v>46299</v>
      </c>
      <c r="B15" s="3" t="s">
        <v>506</v>
      </c>
      <c r="C15" s="18" t="s">
        <v>8</v>
      </c>
      <c r="D15" s="7" t="n">
        <v>0</v>
      </c>
      <c r="E15" s="3"/>
      <c r="F15" s="3"/>
      <c r="G15" s="3"/>
      <c r="H15" s="3"/>
      <c r="I15" s="3"/>
      <c r="J15" s="3" t="s">
        <v>42</v>
      </c>
      <c r="K15" s="3"/>
    </row>
    <row r="16" customFormat="false" ht="15" hidden="false" customHeight="false" outlineLevel="0" collapsed="false">
      <c r="A16" s="15" t="n">
        <v>46300</v>
      </c>
      <c r="B16" s="14" t="s">
        <v>500</v>
      </c>
      <c r="C16" s="14" t="s">
        <v>8</v>
      </c>
      <c r="D16" s="16" t="n">
        <v>0</v>
      </c>
      <c r="E16" s="14"/>
      <c r="F16" s="14"/>
      <c r="G16" s="14"/>
      <c r="H16" s="14"/>
      <c r="I16" s="14"/>
      <c r="J16" s="14" t="s">
        <v>42</v>
      </c>
      <c r="K16" s="14"/>
    </row>
    <row r="17" customFormat="false" ht="15" hidden="false" customHeight="false" outlineLevel="0" collapsed="false">
      <c r="A17" s="9" t="n">
        <v>46301</v>
      </c>
      <c r="B17" s="3" t="s">
        <v>501</v>
      </c>
      <c r="C17" s="18" t="s">
        <v>8</v>
      </c>
      <c r="D17" s="7" t="n">
        <v>0</v>
      </c>
      <c r="E17" s="3"/>
      <c r="F17" s="3"/>
      <c r="G17" s="3"/>
      <c r="H17" s="3"/>
      <c r="I17" s="3"/>
      <c r="J17" s="3" t="s">
        <v>42</v>
      </c>
      <c r="K17" s="3"/>
    </row>
    <row r="18" customFormat="false" ht="15" hidden="false" customHeight="false" outlineLevel="0" collapsed="false">
      <c r="A18" s="15" t="n">
        <v>46302</v>
      </c>
      <c r="B18" s="14" t="s">
        <v>502</v>
      </c>
      <c r="C18" s="14" t="s">
        <v>8</v>
      </c>
      <c r="D18" s="16" t="n">
        <v>0</v>
      </c>
      <c r="E18" s="14"/>
      <c r="F18" s="14"/>
      <c r="G18" s="14"/>
      <c r="H18" s="14"/>
      <c r="I18" s="14"/>
      <c r="J18" s="14" t="s">
        <v>42</v>
      </c>
      <c r="K18" s="14"/>
    </row>
    <row r="19" customFormat="false" ht="15" hidden="false" customHeight="false" outlineLevel="0" collapsed="false">
      <c r="A19" s="9" t="n">
        <v>46303</v>
      </c>
      <c r="B19" s="3" t="s">
        <v>503</v>
      </c>
      <c r="C19" s="18" t="s">
        <v>8</v>
      </c>
      <c r="D19" s="7" t="n">
        <v>0</v>
      </c>
      <c r="E19" s="3"/>
      <c r="F19" s="3"/>
      <c r="G19" s="3"/>
      <c r="H19" s="3"/>
      <c r="I19" s="3"/>
      <c r="J19" s="3" t="s">
        <v>42</v>
      </c>
      <c r="K19" s="3"/>
    </row>
    <row r="20" customFormat="false" ht="15" hidden="false" customHeight="false" outlineLevel="0" collapsed="false">
      <c r="A20" s="15" t="n">
        <v>46304</v>
      </c>
      <c r="B20" s="14" t="s">
        <v>504</v>
      </c>
      <c r="C20" s="14" t="s">
        <v>8</v>
      </c>
      <c r="D20" s="16" t="n">
        <v>0</v>
      </c>
      <c r="E20" s="14"/>
      <c r="F20" s="14"/>
      <c r="G20" s="14"/>
      <c r="H20" s="14"/>
      <c r="I20" s="14"/>
      <c r="J20" s="14" t="s">
        <v>42</v>
      </c>
      <c r="K20" s="14"/>
    </row>
    <row r="21" customFormat="false" ht="15" hidden="false" customHeight="false" outlineLevel="0" collapsed="false">
      <c r="A21" s="9" t="n">
        <v>46305</v>
      </c>
      <c r="B21" s="3" t="s">
        <v>505</v>
      </c>
      <c r="C21" s="18" t="s">
        <v>8</v>
      </c>
      <c r="D21" s="7" t="n">
        <v>0</v>
      </c>
      <c r="E21" s="3"/>
      <c r="F21" s="3"/>
      <c r="G21" s="3"/>
      <c r="H21" s="3"/>
      <c r="I21" s="3"/>
      <c r="J21" s="3" t="s">
        <v>42</v>
      </c>
      <c r="K21" s="3"/>
    </row>
    <row r="22" customFormat="false" ht="15" hidden="false" customHeight="false" outlineLevel="0" collapsed="false">
      <c r="A22" s="15" t="n">
        <v>46306</v>
      </c>
      <c r="B22" s="14" t="s">
        <v>506</v>
      </c>
      <c r="C22" s="14" t="s">
        <v>8</v>
      </c>
      <c r="D22" s="16" t="n">
        <v>0</v>
      </c>
      <c r="E22" s="14"/>
      <c r="F22" s="14"/>
      <c r="G22" s="14"/>
      <c r="H22" s="14"/>
      <c r="I22" s="14"/>
      <c r="J22" s="14" t="s">
        <v>42</v>
      </c>
      <c r="K22" s="14"/>
    </row>
    <row r="23" customFormat="false" ht="15" hidden="false" customHeight="false" outlineLevel="0" collapsed="false">
      <c r="A23" s="9" t="n">
        <v>46307</v>
      </c>
      <c r="B23" s="3" t="s">
        <v>500</v>
      </c>
      <c r="C23" s="18" t="s">
        <v>8</v>
      </c>
      <c r="D23" s="7" t="n">
        <v>0</v>
      </c>
      <c r="E23" s="3"/>
      <c r="F23" s="3"/>
      <c r="G23" s="3"/>
      <c r="H23" s="3"/>
      <c r="I23" s="3"/>
      <c r="J23" s="3" t="s">
        <v>42</v>
      </c>
      <c r="K23" s="3"/>
    </row>
    <row r="24" customFormat="false" ht="15" hidden="false" customHeight="false" outlineLevel="0" collapsed="false">
      <c r="A24" s="15" t="n">
        <v>46308</v>
      </c>
      <c r="B24" s="14" t="s">
        <v>501</v>
      </c>
      <c r="C24" s="14" t="s">
        <v>8</v>
      </c>
      <c r="D24" s="16" t="n">
        <v>0</v>
      </c>
      <c r="E24" s="14"/>
      <c r="F24" s="14"/>
      <c r="G24" s="14"/>
      <c r="H24" s="14"/>
      <c r="I24" s="14"/>
      <c r="J24" s="14" t="s">
        <v>42</v>
      </c>
      <c r="K24" s="14"/>
    </row>
    <row r="25" customFormat="false" ht="15" hidden="false" customHeight="false" outlineLevel="0" collapsed="false">
      <c r="A25" s="9" t="n">
        <v>46309</v>
      </c>
      <c r="B25" s="3" t="s">
        <v>502</v>
      </c>
      <c r="C25" s="18" t="s">
        <v>8</v>
      </c>
      <c r="D25" s="7" t="n">
        <v>0</v>
      </c>
      <c r="E25" s="3"/>
      <c r="F25" s="3"/>
      <c r="G25" s="3"/>
      <c r="H25" s="3"/>
      <c r="I25" s="3"/>
      <c r="J25" s="3" t="s">
        <v>42</v>
      </c>
      <c r="K25" s="3"/>
    </row>
    <row r="26" customFormat="false" ht="15" hidden="false" customHeight="false" outlineLevel="0" collapsed="false">
      <c r="A26" s="15" t="n">
        <v>46310</v>
      </c>
      <c r="B26" s="14" t="s">
        <v>503</v>
      </c>
      <c r="C26" s="14" t="s">
        <v>8</v>
      </c>
      <c r="D26" s="16" t="n">
        <v>0</v>
      </c>
      <c r="E26" s="14"/>
      <c r="F26" s="14"/>
      <c r="G26" s="14"/>
      <c r="H26" s="14"/>
      <c r="I26" s="14"/>
      <c r="J26" s="14" t="s">
        <v>42</v>
      </c>
      <c r="K26" s="14"/>
    </row>
    <row r="27" customFormat="false" ht="15" hidden="false" customHeight="false" outlineLevel="0" collapsed="false">
      <c r="A27" s="9" t="n">
        <v>46311</v>
      </c>
      <c r="B27" s="3" t="s">
        <v>504</v>
      </c>
      <c r="C27" s="18" t="s">
        <v>8</v>
      </c>
      <c r="D27" s="7" t="n">
        <v>0</v>
      </c>
      <c r="E27" s="3"/>
      <c r="F27" s="3"/>
      <c r="G27" s="3"/>
      <c r="H27" s="3"/>
      <c r="I27" s="3"/>
      <c r="J27" s="3" t="s">
        <v>42</v>
      </c>
      <c r="K27" s="3"/>
    </row>
    <row r="28" customFormat="false" ht="15" hidden="false" customHeight="false" outlineLevel="0" collapsed="false">
      <c r="A28" s="15" t="n">
        <v>46312</v>
      </c>
      <c r="B28" s="14" t="s">
        <v>505</v>
      </c>
      <c r="C28" s="14" t="s">
        <v>8</v>
      </c>
      <c r="D28" s="16" t="n">
        <v>0</v>
      </c>
      <c r="E28" s="14"/>
      <c r="F28" s="14"/>
      <c r="G28" s="14"/>
      <c r="H28" s="14"/>
      <c r="I28" s="14"/>
      <c r="J28" s="14" t="s">
        <v>42</v>
      </c>
      <c r="K28" s="14"/>
    </row>
    <row r="29" customFormat="false" ht="15" hidden="false" customHeight="false" outlineLevel="0" collapsed="false">
      <c r="A29" s="9" t="n">
        <v>46313</v>
      </c>
      <c r="B29" s="3" t="s">
        <v>506</v>
      </c>
      <c r="C29" s="18" t="s">
        <v>8</v>
      </c>
      <c r="D29" s="7" t="n">
        <v>0</v>
      </c>
      <c r="E29" s="3"/>
      <c r="F29" s="3"/>
      <c r="G29" s="3"/>
      <c r="H29" s="3"/>
      <c r="I29" s="3"/>
      <c r="J29" s="3" t="s">
        <v>42</v>
      </c>
      <c r="K29" s="3"/>
    </row>
    <row r="30" customFormat="false" ht="15" hidden="false" customHeight="false" outlineLevel="0" collapsed="false">
      <c r="A30" s="15" t="n">
        <v>46314</v>
      </c>
      <c r="B30" s="14" t="s">
        <v>500</v>
      </c>
      <c r="C30" s="14" t="s">
        <v>8</v>
      </c>
      <c r="D30" s="16" t="n">
        <v>0</v>
      </c>
      <c r="E30" s="14"/>
      <c r="F30" s="14"/>
      <c r="G30" s="14"/>
      <c r="H30" s="14"/>
      <c r="I30" s="14"/>
      <c r="J30" s="14" t="s">
        <v>42</v>
      </c>
      <c r="K30" s="14"/>
    </row>
    <row r="31" customFormat="false" ht="15" hidden="false" customHeight="false" outlineLevel="0" collapsed="false">
      <c r="A31" s="9" t="n">
        <v>46315</v>
      </c>
      <c r="B31" s="3" t="s">
        <v>501</v>
      </c>
      <c r="C31" s="18" t="s">
        <v>8</v>
      </c>
      <c r="D31" s="7" t="n">
        <v>0</v>
      </c>
      <c r="E31" s="3"/>
      <c r="F31" s="3"/>
      <c r="G31" s="3"/>
      <c r="H31" s="3"/>
      <c r="I31" s="3"/>
      <c r="J31" s="3" t="s">
        <v>42</v>
      </c>
      <c r="K31" s="3"/>
    </row>
    <row r="32" customFormat="false" ht="15" hidden="false" customHeight="false" outlineLevel="0" collapsed="false">
      <c r="A32" s="15" t="n">
        <v>46316</v>
      </c>
      <c r="B32" s="14" t="s">
        <v>502</v>
      </c>
      <c r="C32" s="14" t="s">
        <v>8</v>
      </c>
      <c r="D32" s="16" t="n">
        <v>0</v>
      </c>
      <c r="E32" s="14"/>
      <c r="F32" s="14"/>
      <c r="G32" s="14"/>
      <c r="H32" s="14"/>
      <c r="I32" s="14"/>
      <c r="J32" s="14" t="s">
        <v>42</v>
      </c>
      <c r="K32" s="14"/>
    </row>
    <row r="33" customFormat="false" ht="15" hidden="false" customHeight="false" outlineLevel="0" collapsed="false">
      <c r="A33" s="9" t="n">
        <v>46317</v>
      </c>
      <c r="B33" s="3" t="s">
        <v>503</v>
      </c>
      <c r="C33" s="18" t="s">
        <v>8</v>
      </c>
      <c r="D33" s="7" t="n">
        <v>0</v>
      </c>
      <c r="E33" s="3"/>
      <c r="F33" s="3"/>
      <c r="G33" s="3"/>
      <c r="H33" s="3"/>
      <c r="I33" s="3"/>
      <c r="J33" s="3" t="s">
        <v>42</v>
      </c>
      <c r="K33" s="3"/>
    </row>
    <row r="34" customFormat="false" ht="15" hidden="false" customHeight="false" outlineLevel="0" collapsed="false">
      <c r="A34" s="15" t="n">
        <v>46318</v>
      </c>
      <c r="B34" s="14" t="s">
        <v>504</v>
      </c>
      <c r="C34" s="14" t="s">
        <v>8</v>
      </c>
      <c r="D34" s="16" t="n">
        <v>0</v>
      </c>
      <c r="E34" s="14"/>
      <c r="F34" s="14"/>
      <c r="G34" s="14"/>
      <c r="H34" s="14"/>
      <c r="I34" s="14"/>
      <c r="J34" s="14" t="s">
        <v>42</v>
      </c>
      <c r="K34" s="14"/>
    </row>
    <row r="35" customFormat="false" ht="15" hidden="false" customHeight="false" outlineLevel="0" collapsed="false">
      <c r="A35" s="9" t="n">
        <v>46319</v>
      </c>
      <c r="B35" s="3" t="s">
        <v>505</v>
      </c>
      <c r="C35" s="18" t="s">
        <v>8</v>
      </c>
      <c r="D35" s="7" t="n">
        <v>0</v>
      </c>
      <c r="E35" s="3"/>
      <c r="F35" s="3"/>
      <c r="G35" s="3"/>
      <c r="H35" s="3"/>
      <c r="I35" s="3"/>
      <c r="J35" s="3" t="s">
        <v>42</v>
      </c>
      <c r="K35" s="3"/>
    </row>
    <row r="36" customFormat="false" ht="15" hidden="false" customHeight="false" outlineLevel="0" collapsed="false">
      <c r="A36" s="15" t="n">
        <v>46320</v>
      </c>
      <c r="B36" s="14" t="s">
        <v>506</v>
      </c>
      <c r="C36" s="14" t="s">
        <v>8</v>
      </c>
      <c r="D36" s="16" t="n">
        <v>0</v>
      </c>
      <c r="E36" s="14"/>
      <c r="F36" s="14"/>
      <c r="G36" s="14"/>
      <c r="H36" s="14"/>
      <c r="I36" s="14"/>
      <c r="J36" s="14" t="s">
        <v>42</v>
      </c>
      <c r="K36" s="14"/>
    </row>
    <row r="37" customFormat="false" ht="15" hidden="false" customHeight="false" outlineLevel="0" collapsed="false">
      <c r="A37" s="9" t="n">
        <v>46321</v>
      </c>
      <c r="B37" s="3" t="s">
        <v>500</v>
      </c>
      <c r="C37" s="18" t="s">
        <v>8</v>
      </c>
      <c r="D37" s="7" t="n">
        <v>0</v>
      </c>
      <c r="E37" s="3"/>
      <c r="F37" s="3"/>
      <c r="G37" s="3"/>
      <c r="H37" s="3"/>
      <c r="I37" s="3"/>
      <c r="J37" s="3" t="s">
        <v>42</v>
      </c>
      <c r="K37" s="3"/>
    </row>
    <row r="38" customFormat="false" ht="15" hidden="false" customHeight="false" outlineLevel="0" collapsed="false">
      <c r="A38" s="15" t="n">
        <v>46322</v>
      </c>
      <c r="B38" s="14" t="s">
        <v>501</v>
      </c>
      <c r="C38" s="14" t="s">
        <v>8</v>
      </c>
      <c r="D38" s="16" t="n">
        <v>0</v>
      </c>
      <c r="E38" s="14"/>
      <c r="F38" s="14"/>
      <c r="G38" s="14"/>
      <c r="H38" s="14"/>
      <c r="I38" s="14"/>
      <c r="J38" s="14" t="s">
        <v>42</v>
      </c>
      <c r="K38" s="14"/>
    </row>
    <row r="39" customFormat="false" ht="15" hidden="false" customHeight="false" outlineLevel="0" collapsed="false">
      <c r="A39" s="9" t="n">
        <v>46323</v>
      </c>
      <c r="B39" s="3" t="s">
        <v>502</v>
      </c>
      <c r="C39" s="18" t="s">
        <v>8</v>
      </c>
      <c r="D39" s="7" t="n">
        <v>0</v>
      </c>
      <c r="E39" s="3"/>
      <c r="F39" s="3"/>
      <c r="G39" s="3"/>
      <c r="H39" s="3"/>
      <c r="I39" s="3"/>
      <c r="J39" s="3" t="s">
        <v>42</v>
      </c>
      <c r="K39" s="3"/>
    </row>
    <row r="40" customFormat="false" ht="15" hidden="false" customHeight="false" outlineLevel="0" collapsed="false">
      <c r="A40" s="15" t="n">
        <v>46324</v>
      </c>
      <c r="B40" s="14" t="s">
        <v>503</v>
      </c>
      <c r="C40" s="14" t="s">
        <v>8</v>
      </c>
      <c r="D40" s="16" t="n">
        <v>0</v>
      </c>
      <c r="E40" s="14"/>
      <c r="F40" s="14"/>
      <c r="G40" s="14"/>
      <c r="H40" s="14"/>
      <c r="I40" s="14"/>
      <c r="J40" s="14" t="s">
        <v>42</v>
      </c>
      <c r="K40" s="14"/>
    </row>
    <row r="41" customFormat="false" ht="15" hidden="false" customHeight="false" outlineLevel="0" collapsed="false">
      <c r="A41" s="9" t="n">
        <v>46325</v>
      </c>
      <c r="B41" s="3" t="s">
        <v>504</v>
      </c>
      <c r="C41" s="18" t="s">
        <v>8</v>
      </c>
      <c r="D41" s="7" t="n">
        <v>0</v>
      </c>
      <c r="E41" s="3"/>
      <c r="F41" s="3"/>
      <c r="G41" s="3"/>
      <c r="H41" s="3"/>
      <c r="I41" s="3"/>
      <c r="J41" s="3" t="s">
        <v>42</v>
      </c>
      <c r="K41" s="3"/>
    </row>
    <row r="42" customFormat="false" ht="15" hidden="false" customHeight="false" outlineLevel="0" collapsed="false">
      <c r="A42" s="15" t="n">
        <v>46326</v>
      </c>
      <c r="B42" s="14" t="s">
        <v>505</v>
      </c>
      <c r="C42" s="14" t="s">
        <v>8</v>
      </c>
      <c r="D42" s="16" t="n">
        <v>0</v>
      </c>
      <c r="E42" s="14"/>
      <c r="F42" s="14"/>
      <c r="G42" s="14"/>
      <c r="H42" s="14"/>
      <c r="I42" s="14"/>
      <c r="J42" s="14" t="s">
        <v>42</v>
      </c>
      <c r="K42" s="14"/>
    </row>
    <row r="43" customFormat="false" ht="15" hidden="false" customHeight="false" outlineLevel="0" collapsed="false">
      <c r="A43" s="9" t="n">
        <v>46327</v>
      </c>
      <c r="B43" s="3" t="s">
        <v>506</v>
      </c>
      <c r="C43" s="18" t="s">
        <v>8</v>
      </c>
      <c r="D43" s="7" t="n">
        <v>0</v>
      </c>
      <c r="E43" s="3"/>
      <c r="F43" s="3"/>
      <c r="G43" s="3"/>
      <c r="H43" s="3"/>
      <c r="I43" s="3"/>
      <c r="J43" s="3" t="s">
        <v>42</v>
      </c>
      <c r="K43" s="3"/>
    </row>
    <row r="44" customFormat="false" ht="15" hidden="false" customHeight="false" outlineLevel="0" collapsed="false">
      <c r="A44" s="15" t="n">
        <v>46328</v>
      </c>
      <c r="B44" s="14" t="s">
        <v>500</v>
      </c>
      <c r="C44" s="14" t="s">
        <v>8</v>
      </c>
      <c r="D44" s="16" t="n">
        <v>0</v>
      </c>
      <c r="E44" s="14"/>
      <c r="F44" s="14"/>
      <c r="G44" s="14"/>
      <c r="H44" s="14"/>
      <c r="I44" s="14"/>
      <c r="J44" s="14" t="s">
        <v>42</v>
      </c>
      <c r="K44" s="14"/>
    </row>
    <row r="45" customFormat="false" ht="15" hidden="false" customHeight="false" outlineLevel="0" collapsed="false">
      <c r="A45" s="9" t="n">
        <v>46329</v>
      </c>
      <c r="B45" s="3" t="s">
        <v>501</v>
      </c>
      <c r="C45" s="18" t="s">
        <v>8</v>
      </c>
      <c r="D45" s="7" t="n">
        <v>0</v>
      </c>
      <c r="E45" s="3"/>
      <c r="F45" s="3"/>
      <c r="G45" s="3"/>
      <c r="H45" s="3"/>
      <c r="I45" s="3"/>
      <c r="J45" s="3" t="s">
        <v>42</v>
      </c>
      <c r="K45" s="3"/>
    </row>
    <row r="46" customFormat="false" ht="15" hidden="false" customHeight="false" outlineLevel="0" collapsed="false">
      <c r="A46" s="15" t="n">
        <v>46330</v>
      </c>
      <c r="B46" s="14" t="s">
        <v>502</v>
      </c>
      <c r="C46" s="14" t="s">
        <v>8</v>
      </c>
      <c r="D46" s="16" t="n">
        <v>0</v>
      </c>
      <c r="E46" s="14"/>
      <c r="F46" s="14"/>
      <c r="G46" s="14"/>
      <c r="H46" s="14"/>
      <c r="I46" s="14"/>
      <c r="J46" s="14" t="s">
        <v>42</v>
      </c>
      <c r="K46" s="14"/>
    </row>
    <row r="47" customFormat="false" ht="15" hidden="false" customHeight="false" outlineLevel="0" collapsed="false">
      <c r="A47" s="9" t="n">
        <v>46331</v>
      </c>
      <c r="B47" s="3" t="s">
        <v>503</v>
      </c>
      <c r="C47" s="18" t="s">
        <v>8</v>
      </c>
      <c r="D47" s="7" t="n">
        <v>0</v>
      </c>
      <c r="E47" s="3"/>
      <c r="F47" s="3"/>
      <c r="G47" s="3"/>
      <c r="H47" s="3"/>
      <c r="I47" s="3"/>
      <c r="J47" s="3" t="s">
        <v>42</v>
      </c>
      <c r="K47" s="3"/>
    </row>
    <row r="48" customFormat="false" ht="15" hidden="false" customHeight="false" outlineLevel="0" collapsed="false">
      <c r="A48" s="15" t="n">
        <v>46332</v>
      </c>
      <c r="B48" s="14" t="s">
        <v>504</v>
      </c>
      <c r="C48" s="14" t="s">
        <v>8</v>
      </c>
      <c r="D48" s="16" t="n">
        <v>0</v>
      </c>
      <c r="E48" s="14"/>
      <c r="F48" s="14"/>
      <c r="G48" s="14"/>
      <c r="H48" s="14"/>
      <c r="I48" s="14"/>
      <c r="J48" s="14" t="s">
        <v>42</v>
      </c>
      <c r="K48" s="14"/>
    </row>
    <row r="49" customFormat="false" ht="15" hidden="false" customHeight="false" outlineLevel="0" collapsed="false">
      <c r="A49" s="9" t="n">
        <v>46333</v>
      </c>
      <c r="B49" s="3" t="s">
        <v>505</v>
      </c>
      <c r="C49" s="18" t="s">
        <v>8</v>
      </c>
      <c r="D49" s="7" t="n">
        <v>0</v>
      </c>
      <c r="E49" s="3"/>
      <c r="F49" s="3"/>
      <c r="G49" s="3"/>
      <c r="H49" s="3"/>
      <c r="I49" s="3"/>
      <c r="J49" s="3" t="s">
        <v>42</v>
      </c>
      <c r="K49" s="3"/>
    </row>
    <row r="50" customFormat="false" ht="15" hidden="false" customHeight="false" outlineLevel="0" collapsed="false">
      <c r="A50" s="15" t="n">
        <v>46334</v>
      </c>
      <c r="B50" s="14" t="s">
        <v>506</v>
      </c>
      <c r="C50" s="14" t="s">
        <v>8</v>
      </c>
      <c r="D50" s="16" t="n">
        <v>0</v>
      </c>
      <c r="E50" s="14"/>
      <c r="F50" s="14"/>
      <c r="G50" s="14"/>
      <c r="H50" s="14"/>
      <c r="I50" s="14"/>
      <c r="J50" s="14" t="s">
        <v>42</v>
      </c>
      <c r="K50" s="14"/>
    </row>
    <row r="51" customFormat="false" ht="15" hidden="false" customHeight="false" outlineLevel="0" collapsed="false">
      <c r="A51" s="9" t="n">
        <v>46335</v>
      </c>
      <c r="B51" s="3" t="s">
        <v>500</v>
      </c>
      <c r="C51" s="18" t="s">
        <v>8</v>
      </c>
      <c r="D51" s="7" t="n">
        <v>0</v>
      </c>
      <c r="E51" s="3"/>
      <c r="F51" s="3"/>
      <c r="G51" s="3"/>
      <c r="H51" s="3"/>
      <c r="I51" s="3"/>
      <c r="J51" s="3" t="s">
        <v>42</v>
      </c>
      <c r="K51" s="3"/>
    </row>
    <row r="52" customFormat="false" ht="15" hidden="false" customHeight="false" outlineLevel="0" collapsed="false">
      <c r="A52" s="15" t="n">
        <v>46336</v>
      </c>
      <c r="B52" s="14" t="s">
        <v>501</v>
      </c>
      <c r="C52" s="14" t="s">
        <v>8</v>
      </c>
      <c r="D52" s="16" t="n">
        <v>0</v>
      </c>
      <c r="E52" s="14"/>
      <c r="F52" s="14"/>
      <c r="G52" s="14"/>
      <c r="H52" s="14"/>
      <c r="I52" s="14"/>
      <c r="J52" s="14" t="s">
        <v>42</v>
      </c>
      <c r="K52" s="14"/>
    </row>
    <row r="53" customFormat="false" ht="15" hidden="false" customHeight="false" outlineLevel="0" collapsed="false">
      <c r="A53" s="9" t="n">
        <v>46337</v>
      </c>
      <c r="B53" s="3" t="s">
        <v>502</v>
      </c>
      <c r="C53" s="18" t="s">
        <v>8</v>
      </c>
      <c r="D53" s="7" t="n">
        <v>0</v>
      </c>
      <c r="E53" s="3"/>
      <c r="F53" s="3"/>
      <c r="G53" s="3"/>
      <c r="H53" s="3"/>
      <c r="I53" s="3"/>
      <c r="J53" s="3" t="s">
        <v>42</v>
      </c>
      <c r="K53" s="3"/>
    </row>
    <row r="54" customFormat="false" ht="15" hidden="false" customHeight="false" outlineLevel="0" collapsed="false">
      <c r="A54" s="15" t="n">
        <v>46338</v>
      </c>
      <c r="B54" s="14" t="s">
        <v>503</v>
      </c>
      <c r="C54" s="14" t="s">
        <v>8</v>
      </c>
      <c r="D54" s="16" t="n">
        <v>0</v>
      </c>
      <c r="E54" s="14"/>
      <c r="F54" s="14"/>
      <c r="G54" s="14"/>
      <c r="H54" s="14"/>
      <c r="I54" s="14"/>
      <c r="J54" s="14" t="s">
        <v>42</v>
      </c>
      <c r="K54" s="14"/>
    </row>
    <row r="55" customFormat="false" ht="15" hidden="false" customHeight="false" outlineLevel="0" collapsed="false">
      <c r="A55" s="9" t="n">
        <v>46339</v>
      </c>
      <c r="B55" s="3" t="s">
        <v>504</v>
      </c>
      <c r="C55" s="18" t="s">
        <v>8</v>
      </c>
      <c r="D55" s="7" t="n">
        <v>0</v>
      </c>
      <c r="E55" s="3"/>
      <c r="F55" s="3"/>
      <c r="G55" s="3"/>
      <c r="H55" s="3"/>
      <c r="I55" s="3"/>
      <c r="J55" s="3" t="s">
        <v>42</v>
      </c>
      <c r="K55" s="3"/>
    </row>
    <row r="56" customFormat="false" ht="15" hidden="false" customHeight="false" outlineLevel="0" collapsed="false">
      <c r="A56" s="15" t="n">
        <v>46340</v>
      </c>
      <c r="B56" s="14" t="s">
        <v>505</v>
      </c>
      <c r="C56" s="14" t="s">
        <v>8</v>
      </c>
      <c r="D56" s="16" t="n">
        <v>0</v>
      </c>
      <c r="E56" s="14"/>
      <c r="F56" s="14"/>
      <c r="G56" s="14"/>
      <c r="H56" s="14"/>
      <c r="I56" s="14"/>
      <c r="J56" s="14" t="s">
        <v>42</v>
      </c>
      <c r="K56" s="14"/>
    </row>
    <row r="57" customFormat="false" ht="15" hidden="false" customHeight="false" outlineLevel="0" collapsed="false">
      <c r="A57" s="9" t="n">
        <v>46341</v>
      </c>
      <c r="B57" s="3" t="s">
        <v>506</v>
      </c>
      <c r="C57" s="18" t="s">
        <v>8</v>
      </c>
      <c r="D57" s="7" t="n">
        <v>0</v>
      </c>
      <c r="E57" s="3"/>
      <c r="F57" s="3"/>
      <c r="G57" s="3"/>
      <c r="H57" s="3"/>
      <c r="I57" s="3"/>
      <c r="J57" s="3" t="s">
        <v>42</v>
      </c>
      <c r="K57" s="3"/>
    </row>
    <row r="58" customFormat="false" ht="15" hidden="false" customHeight="false" outlineLevel="0" collapsed="false">
      <c r="A58" s="15" t="n">
        <v>46342</v>
      </c>
      <c r="B58" s="14" t="s">
        <v>500</v>
      </c>
      <c r="C58" s="14" t="s">
        <v>8</v>
      </c>
      <c r="D58" s="16" t="n">
        <v>0</v>
      </c>
      <c r="E58" s="14"/>
      <c r="F58" s="14"/>
      <c r="G58" s="14"/>
      <c r="H58" s="14"/>
      <c r="I58" s="14"/>
      <c r="J58" s="14" t="s">
        <v>42</v>
      </c>
      <c r="K58" s="14"/>
    </row>
    <row r="59" customFormat="false" ht="15" hidden="false" customHeight="false" outlineLevel="0" collapsed="false">
      <c r="A59" s="9" t="n">
        <v>46343</v>
      </c>
      <c r="B59" s="3" t="s">
        <v>501</v>
      </c>
      <c r="C59" s="18" t="s">
        <v>8</v>
      </c>
      <c r="D59" s="7" t="n">
        <v>0</v>
      </c>
      <c r="E59" s="3"/>
      <c r="F59" s="3"/>
      <c r="G59" s="3"/>
      <c r="H59" s="3"/>
      <c r="I59" s="3"/>
      <c r="J59" s="3" t="s">
        <v>42</v>
      </c>
      <c r="K59" s="3"/>
    </row>
    <row r="60" customFormat="false" ht="15" hidden="false" customHeight="false" outlineLevel="0" collapsed="false">
      <c r="A60" s="15" t="n">
        <v>46344</v>
      </c>
      <c r="B60" s="14" t="s">
        <v>502</v>
      </c>
      <c r="C60" s="14" t="s">
        <v>8</v>
      </c>
      <c r="D60" s="16" t="n">
        <v>0</v>
      </c>
      <c r="E60" s="14"/>
      <c r="F60" s="14"/>
      <c r="G60" s="14"/>
      <c r="H60" s="14"/>
      <c r="I60" s="14"/>
      <c r="J60" s="14" t="s">
        <v>42</v>
      </c>
      <c r="K60" s="14"/>
    </row>
    <row r="61" customFormat="false" ht="15" hidden="false" customHeight="false" outlineLevel="0" collapsed="false">
      <c r="A61" s="9" t="n">
        <v>46345</v>
      </c>
      <c r="B61" s="3" t="s">
        <v>503</v>
      </c>
      <c r="C61" s="18" t="s">
        <v>8</v>
      </c>
      <c r="D61" s="7" t="n">
        <v>0</v>
      </c>
      <c r="E61" s="3"/>
      <c r="F61" s="3"/>
      <c r="G61" s="3"/>
      <c r="H61" s="3"/>
      <c r="I61" s="3"/>
      <c r="J61" s="3" t="s">
        <v>42</v>
      </c>
      <c r="K61" s="3"/>
    </row>
    <row r="62" customFormat="false" ht="15" hidden="false" customHeight="false" outlineLevel="0" collapsed="false">
      <c r="A62" s="15" t="n">
        <v>46346</v>
      </c>
      <c r="B62" s="14" t="s">
        <v>504</v>
      </c>
      <c r="C62" s="14" t="s">
        <v>8</v>
      </c>
      <c r="D62" s="16" t="n">
        <v>0</v>
      </c>
      <c r="E62" s="14"/>
      <c r="F62" s="14"/>
      <c r="G62" s="14"/>
      <c r="H62" s="14"/>
      <c r="I62" s="14"/>
      <c r="J62" s="14" t="s">
        <v>42</v>
      </c>
      <c r="K62" s="14"/>
    </row>
    <row r="63" customFormat="false" ht="15" hidden="false" customHeight="false" outlineLevel="0" collapsed="false">
      <c r="A63" s="9" t="n">
        <v>46347</v>
      </c>
      <c r="B63" s="3" t="s">
        <v>505</v>
      </c>
      <c r="C63" s="18" t="s">
        <v>8</v>
      </c>
      <c r="D63" s="7" t="n">
        <v>0</v>
      </c>
      <c r="E63" s="3"/>
      <c r="F63" s="3"/>
      <c r="G63" s="3"/>
      <c r="H63" s="3"/>
      <c r="I63" s="3"/>
      <c r="J63" s="3" t="s">
        <v>42</v>
      </c>
      <c r="K63" s="3"/>
    </row>
    <row r="64" customFormat="false" ht="15" hidden="false" customHeight="false" outlineLevel="0" collapsed="false">
      <c r="A64" s="15" t="n">
        <v>46348</v>
      </c>
      <c r="B64" s="14" t="s">
        <v>506</v>
      </c>
      <c r="C64" s="14" t="s">
        <v>8</v>
      </c>
      <c r="D64" s="16" t="n">
        <v>0</v>
      </c>
      <c r="E64" s="14"/>
      <c r="F64" s="14"/>
      <c r="G64" s="14"/>
      <c r="H64" s="14"/>
      <c r="I64" s="14"/>
      <c r="J64" s="14" t="s">
        <v>42</v>
      </c>
      <c r="K64" s="14"/>
    </row>
    <row r="65" customFormat="false" ht="15" hidden="false" customHeight="false" outlineLevel="0" collapsed="false">
      <c r="A65" s="9" t="n">
        <v>46349</v>
      </c>
      <c r="B65" s="3" t="s">
        <v>500</v>
      </c>
      <c r="C65" s="18" t="s">
        <v>8</v>
      </c>
      <c r="D65" s="7" t="n">
        <v>0</v>
      </c>
      <c r="E65" s="3"/>
      <c r="F65" s="3"/>
      <c r="G65" s="3"/>
      <c r="H65" s="3"/>
      <c r="I65" s="3"/>
      <c r="J65" s="3" t="s">
        <v>42</v>
      </c>
      <c r="K65" s="3"/>
    </row>
    <row r="66" customFormat="false" ht="15" hidden="false" customHeight="false" outlineLevel="0" collapsed="false">
      <c r="A66" s="15" t="n">
        <v>46350</v>
      </c>
      <c r="B66" s="14" t="s">
        <v>501</v>
      </c>
      <c r="C66" s="14" t="s">
        <v>8</v>
      </c>
      <c r="D66" s="16" t="n">
        <v>0</v>
      </c>
      <c r="E66" s="14"/>
      <c r="F66" s="14"/>
      <c r="G66" s="14"/>
      <c r="H66" s="14"/>
      <c r="I66" s="14"/>
      <c r="J66" s="14" t="s">
        <v>42</v>
      </c>
      <c r="K66" s="14"/>
    </row>
    <row r="67" customFormat="false" ht="15" hidden="false" customHeight="false" outlineLevel="0" collapsed="false">
      <c r="A67" s="9" t="n">
        <v>46351</v>
      </c>
      <c r="B67" s="3" t="s">
        <v>502</v>
      </c>
      <c r="C67" s="18" t="s">
        <v>8</v>
      </c>
      <c r="D67" s="7" t="n">
        <v>0</v>
      </c>
      <c r="E67" s="3"/>
      <c r="F67" s="3"/>
      <c r="G67" s="3"/>
      <c r="H67" s="3"/>
      <c r="I67" s="3"/>
      <c r="J67" s="3" t="s">
        <v>42</v>
      </c>
      <c r="K67" s="3"/>
    </row>
    <row r="68" customFormat="false" ht="15" hidden="false" customHeight="false" outlineLevel="0" collapsed="false">
      <c r="A68" s="15" t="n">
        <v>46352</v>
      </c>
      <c r="B68" s="14" t="s">
        <v>503</v>
      </c>
      <c r="C68" s="14" t="s">
        <v>8</v>
      </c>
      <c r="D68" s="16" t="n">
        <v>0</v>
      </c>
      <c r="E68" s="14"/>
      <c r="F68" s="14"/>
      <c r="G68" s="14"/>
      <c r="H68" s="14"/>
      <c r="I68" s="14"/>
      <c r="J68" s="14" t="s">
        <v>42</v>
      </c>
      <c r="K68" s="14"/>
    </row>
    <row r="69" customFormat="false" ht="15" hidden="false" customHeight="false" outlineLevel="0" collapsed="false">
      <c r="A69" s="9" t="n">
        <v>46353</v>
      </c>
      <c r="B69" s="3" t="s">
        <v>504</v>
      </c>
      <c r="C69" s="18" t="s">
        <v>8</v>
      </c>
      <c r="D69" s="7" t="n">
        <v>0</v>
      </c>
      <c r="E69" s="3"/>
      <c r="F69" s="3"/>
      <c r="G69" s="3"/>
      <c r="H69" s="3"/>
      <c r="I69" s="3"/>
      <c r="J69" s="3" t="s">
        <v>42</v>
      </c>
      <c r="K69" s="3"/>
    </row>
    <row r="70" customFormat="false" ht="15" hidden="false" customHeight="false" outlineLevel="0" collapsed="false">
      <c r="A70" s="15" t="n">
        <v>46354</v>
      </c>
      <c r="B70" s="14" t="s">
        <v>505</v>
      </c>
      <c r="C70" s="14" t="s">
        <v>8</v>
      </c>
      <c r="D70" s="16" t="n">
        <v>0</v>
      </c>
      <c r="E70" s="14"/>
      <c r="F70" s="14"/>
      <c r="G70" s="14"/>
      <c r="H70" s="14"/>
      <c r="I70" s="14"/>
      <c r="J70" s="14" t="s">
        <v>42</v>
      </c>
      <c r="K70" s="14"/>
    </row>
    <row r="71" customFormat="false" ht="15" hidden="false" customHeight="false" outlineLevel="0" collapsed="false">
      <c r="A71" s="9" t="n">
        <v>46355</v>
      </c>
      <c r="B71" s="3" t="s">
        <v>506</v>
      </c>
      <c r="C71" s="18" t="s">
        <v>8</v>
      </c>
      <c r="D71" s="7" t="n">
        <v>0</v>
      </c>
      <c r="E71" s="3"/>
      <c r="F71" s="3"/>
      <c r="G71" s="3"/>
      <c r="H71" s="3"/>
      <c r="I71" s="3"/>
      <c r="J71" s="3" t="s">
        <v>42</v>
      </c>
      <c r="K71" s="3"/>
    </row>
    <row r="72" customFormat="false" ht="15" hidden="false" customHeight="false" outlineLevel="0" collapsed="false">
      <c r="A72" s="15" t="n">
        <v>46356</v>
      </c>
      <c r="B72" s="14" t="s">
        <v>500</v>
      </c>
      <c r="C72" s="14" t="s">
        <v>8</v>
      </c>
      <c r="D72" s="16" t="n">
        <v>0</v>
      </c>
      <c r="E72" s="14"/>
      <c r="F72" s="14"/>
      <c r="G72" s="14"/>
      <c r="H72" s="14"/>
      <c r="I72" s="14"/>
      <c r="J72" s="14" t="s">
        <v>42</v>
      </c>
      <c r="K72" s="14"/>
    </row>
    <row r="73" customFormat="false" ht="15" hidden="false" customHeight="false" outlineLevel="0" collapsed="false">
      <c r="A73" s="9" t="n">
        <v>46357</v>
      </c>
      <c r="B73" s="3" t="s">
        <v>501</v>
      </c>
      <c r="C73" s="18" t="s">
        <v>8</v>
      </c>
      <c r="D73" s="7" t="n">
        <v>0</v>
      </c>
      <c r="E73" s="3"/>
      <c r="F73" s="3"/>
      <c r="G73" s="3"/>
      <c r="H73" s="3"/>
      <c r="I73" s="3"/>
      <c r="J73" s="3" t="s">
        <v>42</v>
      </c>
      <c r="K73" s="3"/>
    </row>
    <row r="74" customFormat="false" ht="15" hidden="false" customHeight="false" outlineLevel="0" collapsed="false">
      <c r="A74" s="15" t="n">
        <v>46358</v>
      </c>
      <c r="B74" s="14" t="s">
        <v>502</v>
      </c>
      <c r="C74" s="14" t="s">
        <v>8</v>
      </c>
      <c r="D74" s="16" t="n">
        <v>0</v>
      </c>
      <c r="E74" s="14"/>
      <c r="F74" s="14"/>
      <c r="G74" s="14"/>
      <c r="H74" s="14"/>
      <c r="I74" s="14"/>
      <c r="J74" s="14" t="s">
        <v>42</v>
      </c>
      <c r="K74" s="14"/>
    </row>
    <row r="75" customFormat="false" ht="15" hidden="false" customHeight="false" outlineLevel="0" collapsed="false">
      <c r="A75" s="9" t="n">
        <v>46359</v>
      </c>
      <c r="B75" s="3" t="s">
        <v>503</v>
      </c>
      <c r="C75" s="18" t="s">
        <v>8</v>
      </c>
      <c r="D75" s="7" t="n">
        <v>0</v>
      </c>
      <c r="E75" s="3"/>
      <c r="F75" s="3"/>
      <c r="G75" s="3"/>
      <c r="H75" s="3"/>
      <c r="I75" s="3"/>
      <c r="J75" s="3" t="s">
        <v>42</v>
      </c>
      <c r="K75" s="3"/>
    </row>
    <row r="76" customFormat="false" ht="15" hidden="false" customHeight="false" outlineLevel="0" collapsed="false">
      <c r="A76" s="15" t="n">
        <v>46360</v>
      </c>
      <c r="B76" s="14" t="s">
        <v>504</v>
      </c>
      <c r="C76" s="14" t="s">
        <v>8</v>
      </c>
      <c r="D76" s="16" t="n">
        <v>0</v>
      </c>
      <c r="E76" s="14"/>
      <c r="F76" s="14"/>
      <c r="G76" s="14"/>
      <c r="H76" s="14"/>
      <c r="I76" s="14"/>
      <c r="J76" s="14" t="s">
        <v>42</v>
      </c>
      <c r="K76" s="14"/>
    </row>
    <row r="77" customFormat="false" ht="15" hidden="false" customHeight="false" outlineLevel="0" collapsed="false">
      <c r="A77" s="9" t="n">
        <v>46361</v>
      </c>
      <c r="B77" s="3" t="s">
        <v>505</v>
      </c>
      <c r="C77" s="18" t="s">
        <v>8</v>
      </c>
      <c r="D77" s="7" t="n">
        <v>0</v>
      </c>
      <c r="E77" s="3"/>
      <c r="F77" s="3"/>
      <c r="G77" s="3"/>
      <c r="H77" s="3"/>
      <c r="I77" s="3"/>
      <c r="J77" s="3" t="s">
        <v>42</v>
      </c>
      <c r="K77" s="3"/>
    </row>
    <row r="78" customFormat="false" ht="15" hidden="false" customHeight="false" outlineLevel="0" collapsed="false">
      <c r="A78" s="15" t="n">
        <v>46362</v>
      </c>
      <c r="B78" s="14" t="s">
        <v>506</v>
      </c>
      <c r="C78" s="14" t="s">
        <v>8</v>
      </c>
      <c r="D78" s="16" t="n">
        <v>0</v>
      </c>
      <c r="E78" s="14"/>
      <c r="F78" s="14"/>
      <c r="G78" s="14"/>
      <c r="H78" s="14"/>
      <c r="I78" s="14"/>
      <c r="J78" s="14" t="s">
        <v>42</v>
      </c>
      <c r="K78" s="14"/>
    </row>
    <row r="79" customFormat="false" ht="15" hidden="false" customHeight="false" outlineLevel="0" collapsed="false">
      <c r="A79" s="9" t="n">
        <v>46363</v>
      </c>
      <c r="B79" s="3" t="s">
        <v>500</v>
      </c>
      <c r="C79" s="18" t="s">
        <v>8</v>
      </c>
      <c r="D79" s="7" t="n">
        <v>0</v>
      </c>
      <c r="E79" s="3"/>
      <c r="F79" s="3"/>
      <c r="G79" s="3"/>
      <c r="H79" s="3"/>
      <c r="I79" s="3"/>
      <c r="J79" s="3" t="s">
        <v>42</v>
      </c>
      <c r="K79" s="3"/>
    </row>
    <row r="80" customFormat="false" ht="15" hidden="false" customHeight="false" outlineLevel="0" collapsed="false">
      <c r="A80" s="15" t="n">
        <v>46364</v>
      </c>
      <c r="B80" s="14" t="s">
        <v>501</v>
      </c>
      <c r="C80" s="14" t="s">
        <v>8</v>
      </c>
      <c r="D80" s="16" t="n">
        <v>0</v>
      </c>
      <c r="E80" s="14"/>
      <c r="F80" s="14"/>
      <c r="G80" s="14"/>
      <c r="H80" s="14"/>
      <c r="I80" s="14"/>
      <c r="J80" s="14" t="s">
        <v>42</v>
      </c>
      <c r="K80" s="14"/>
    </row>
    <row r="81" customFormat="false" ht="15" hidden="false" customHeight="false" outlineLevel="0" collapsed="false">
      <c r="A81" s="9" t="n">
        <v>46365</v>
      </c>
      <c r="B81" s="3" t="s">
        <v>502</v>
      </c>
      <c r="C81" s="18" t="s">
        <v>8</v>
      </c>
      <c r="D81" s="7" t="n">
        <v>0</v>
      </c>
      <c r="E81" s="3"/>
      <c r="F81" s="3"/>
      <c r="G81" s="3"/>
      <c r="H81" s="3"/>
      <c r="I81" s="3"/>
      <c r="J81" s="3" t="s">
        <v>42</v>
      </c>
      <c r="K81" s="3"/>
    </row>
    <row r="82" customFormat="false" ht="15" hidden="false" customHeight="false" outlineLevel="0" collapsed="false">
      <c r="A82" s="15" t="n">
        <v>46366</v>
      </c>
      <c r="B82" s="14" t="s">
        <v>503</v>
      </c>
      <c r="C82" s="14" t="s">
        <v>8</v>
      </c>
      <c r="D82" s="16" t="n">
        <v>0</v>
      </c>
      <c r="E82" s="14"/>
      <c r="F82" s="14"/>
      <c r="G82" s="14"/>
      <c r="H82" s="14"/>
      <c r="I82" s="14"/>
      <c r="J82" s="14" t="s">
        <v>42</v>
      </c>
      <c r="K82" s="14"/>
    </row>
    <row r="83" customFormat="false" ht="15" hidden="false" customHeight="false" outlineLevel="0" collapsed="false">
      <c r="A83" s="9" t="n">
        <v>46367</v>
      </c>
      <c r="B83" s="3" t="s">
        <v>504</v>
      </c>
      <c r="C83" s="18" t="s">
        <v>8</v>
      </c>
      <c r="D83" s="7" t="n">
        <v>0</v>
      </c>
      <c r="E83" s="3"/>
      <c r="F83" s="3"/>
      <c r="G83" s="3"/>
      <c r="H83" s="3"/>
      <c r="I83" s="3"/>
      <c r="J83" s="3" t="s">
        <v>42</v>
      </c>
      <c r="K83" s="3"/>
    </row>
    <row r="84" customFormat="false" ht="15" hidden="false" customHeight="false" outlineLevel="0" collapsed="false">
      <c r="A84" s="15" t="n">
        <v>46368</v>
      </c>
      <c r="B84" s="14" t="s">
        <v>505</v>
      </c>
      <c r="C84" s="14" t="s">
        <v>8</v>
      </c>
      <c r="D84" s="16" t="n">
        <v>0</v>
      </c>
      <c r="E84" s="14"/>
      <c r="F84" s="14"/>
      <c r="G84" s="14"/>
      <c r="H84" s="14"/>
      <c r="I84" s="14"/>
      <c r="J84" s="14" t="s">
        <v>42</v>
      </c>
      <c r="K84" s="14"/>
    </row>
    <row r="85" customFormat="false" ht="15" hidden="false" customHeight="false" outlineLevel="0" collapsed="false">
      <c r="A85" s="9" t="n">
        <v>46369</v>
      </c>
      <c r="B85" s="3" t="s">
        <v>506</v>
      </c>
      <c r="C85" s="18" t="s">
        <v>8</v>
      </c>
      <c r="D85" s="7" t="n">
        <v>0</v>
      </c>
      <c r="E85" s="3"/>
      <c r="F85" s="3"/>
      <c r="G85" s="3"/>
      <c r="H85" s="3"/>
      <c r="I85" s="3"/>
      <c r="J85" s="3" t="s">
        <v>42</v>
      </c>
      <c r="K85" s="3"/>
    </row>
    <row r="86" customFormat="false" ht="15" hidden="false" customHeight="false" outlineLevel="0" collapsed="false">
      <c r="A86" s="15" t="n">
        <v>46370</v>
      </c>
      <c r="B86" s="14" t="s">
        <v>500</v>
      </c>
      <c r="C86" s="14" t="s">
        <v>8</v>
      </c>
      <c r="D86" s="16" t="n">
        <v>0</v>
      </c>
      <c r="E86" s="14"/>
      <c r="F86" s="14"/>
      <c r="G86" s="14"/>
      <c r="H86" s="14"/>
      <c r="I86" s="14"/>
      <c r="J86" s="14" t="s">
        <v>42</v>
      </c>
      <c r="K86" s="14"/>
    </row>
    <row r="87" customFormat="false" ht="15" hidden="false" customHeight="false" outlineLevel="0" collapsed="false">
      <c r="A87" s="9" t="n">
        <v>46371</v>
      </c>
      <c r="B87" s="3" t="s">
        <v>501</v>
      </c>
      <c r="C87" s="18" t="s">
        <v>8</v>
      </c>
      <c r="D87" s="7" t="n">
        <v>0</v>
      </c>
      <c r="E87" s="3"/>
      <c r="F87" s="3"/>
      <c r="G87" s="3"/>
      <c r="H87" s="3"/>
      <c r="I87" s="3"/>
      <c r="J87" s="3" t="s">
        <v>42</v>
      </c>
      <c r="K87" s="3"/>
    </row>
    <row r="88" customFormat="false" ht="15" hidden="false" customHeight="false" outlineLevel="0" collapsed="false">
      <c r="A88" s="15" t="n">
        <v>46372</v>
      </c>
      <c r="B88" s="14" t="s">
        <v>502</v>
      </c>
      <c r="C88" s="14" t="s">
        <v>8</v>
      </c>
      <c r="D88" s="16" t="n">
        <v>0</v>
      </c>
      <c r="E88" s="14"/>
      <c r="F88" s="14"/>
      <c r="G88" s="14"/>
      <c r="H88" s="14"/>
      <c r="I88" s="14"/>
      <c r="J88" s="14" t="s">
        <v>42</v>
      </c>
      <c r="K88" s="14"/>
    </row>
    <row r="89" customFormat="false" ht="15" hidden="false" customHeight="false" outlineLevel="0" collapsed="false">
      <c r="A89" s="9" t="n">
        <v>46373</v>
      </c>
      <c r="B89" s="3" t="s">
        <v>503</v>
      </c>
      <c r="C89" s="18" t="s">
        <v>8</v>
      </c>
      <c r="D89" s="7" t="n">
        <v>0</v>
      </c>
      <c r="E89" s="3"/>
      <c r="F89" s="3"/>
      <c r="G89" s="3"/>
      <c r="H89" s="3"/>
      <c r="I89" s="3"/>
      <c r="J89" s="3" t="s">
        <v>42</v>
      </c>
      <c r="K89" s="3"/>
    </row>
    <row r="90" customFormat="false" ht="15" hidden="false" customHeight="false" outlineLevel="0" collapsed="false">
      <c r="A90" s="15" t="n">
        <v>46374</v>
      </c>
      <c r="B90" s="14" t="s">
        <v>504</v>
      </c>
      <c r="C90" s="14" t="s">
        <v>8</v>
      </c>
      <c r="D90" s="16" t="n">
        <v>0</v>
      </c>
      <c r="E90" s="14"/>
      <c r="F90" s="14"/>
      <c r="G90" s="14"/>
      <c r="H90" s="14"/>
      <c r="I90" s="14"/>
      <c r="J90" s="14" t="s">
        <v>42</v>
      </c>
      <c r="K90" s="14"/>
    </row>
    <row r="91" customFormat="false" ht="15" hidden="false" customHeight="false" outlineLevel="0" collapsed="false">
      <c r="A91" s="9" t="n">
        <v>46375</v>
      </c>
      <c r="B91" s="3" t="s">
        <v>505</v>
      </c>
      <c r="C91" s="18" t="s">
        <v>8</v>
      </c>
      <c r="D91" s="7" t="n">
        <v>0</v>
      </c>
      <c r="E91" s="3"/>
      <c r="F91" s="3"/>
      <c r="G91" s="3"/>
      <c r="H91" s="3"/>
      <c r="I91" s="3"/>
      <c r="J91" s="3" t="s">
        <v>42</v>
      </c>
      <c r="K91" s="3"/>
    </row>
    <row r="92" customFormat="false" ht="15" hidden="false" customHeight="false" outlineLevel="0" collapsed="false">
      <c r="A92" s="15" t="n">
        <v>46376</v>
      </c>
      <c r="B92" s="14" t="s">
        <v>506</v>
      </c>
      <c r="C92" s="14" t="s">
        <v>8</v>
      </c>
      <c r="D92" s="16" t="n">
        <v>0</v>
      </c>
      <c r="E92" s="14"/>
      <c r="F92" s="14"/>
      <c r="G92" s="14"/>
      <c r="H92" s="14"/>
      <c r="I92" s="14"/>
      <c r="J92" s="14" t="s">
        <v>42</v>
      </c>
      <c r="K92" s="14"/>
    </row>
    <row r="93" customFormat="false" ht="15" hidden="false" customHeight="false" outlineLevel="0" collapsed="false">
      <c r="A93" s="9" t="n">
        <v>46377</v>
      </c>
      <c r="B93" s="3" t="s">
        <v>500</v>
      </c>
      <c r="C93" s="18" t="s">
        <v>8</v>
      </c>
      <c r="D93" s="7" t="n">
        <v>0</v>
      </c>
      <c r="E93" s="3"/>
      <c r="F93" s="3"/>
      <c r="G93" s="3"/>
      <c r="H93" s="3"/>
      <c r="I93" s="3"/>
      <c r="J93" s="3" t="s">
        <v>42</v>
      </c>
      <c r="K93" s="3"/>
    </row>
    <row r="94" customFormat="false" ht="15" hidden="false" customHeight="false" outlineLevel="0" collapsed="false">
      <c r="A94" s="15" t="n">
        <v>46378</v>
      </c>
      <c r="B94" s="14" t="s">
        <v>501</v>
      </c>
      <c r="C94" s="14" t="s">
        <v>8</v>
      </c>
      <c r="D94" s="16" t="n">
        <v>0</v>
      </c>
      <c r="E94" s="14"/>
      <c r="F94" s="14"/>
      <c r="G94" s="14"/>
      <c r="H94" s="14"/>
      <c r="I94" s="14"/>
      <c r="J94" s="14" t="s">
        <v>42</v>
      </c>
      <c r="K94" s="14"/>
    </row>
    <row r="95" customFormat="false" ht="15" hidden="false" customHeight="false" outlineLevel="0" collapsed="false">
      <c r="A95" s="9" t="n">
        <v>46379</v>
      </c>
      <c r="B95" s="3" t="s">
        <v>502</v>
      </c>
      <c r="C95" s="18" t="s">
        <v>8</v>
      </c>
      <c r="D95" s="7" t="n">
        <v>0</v>
      </c>
      <c r="E95" s="3"/>
      <c r="F95" s="3"/>
      <c r="G95" s="3"/>
      <c r="H95" s="3"/>
      <c r="I95" s="3"/>
      <c r="J95" s="3" t="s">
        <v>42</v>
      </c>
      <c r="K95" s="3"/>
    </row>
    <row r="96" customFormat="false" ht="15" hidden="false" customHeight="false" outlineLevel="0" collapsed="false">
      <c r="A96" s="15" t="n">
        <v>46380</v>
      </c>
      <c r="B96" s="14" t="s">
        <v>503</v>
      </c>
      <c r="C96" s="14" t="s">
        <v>8</v>
      </c>
      <c r="D96" s="16" t="n">
        <v>0</v>
      </c>
      <c r="E96" s="14"/>
      <c r="F96" s="14"/>
      <c r="G96" s="14"/>
      <c r="H96" s="14"/>
      <c r="I96" s="14"/>
      <c r="J96" s="14" t="s">
        <v>42</v>
      </c>
      <c r="K96" s="14"/>
    </row>
    <row r="97" customFormat="false" ht="15" hidden="false" customHeight="false" outlineLevel="0" collapsed="false">
      <c r="A97" s="9" t="n">
        <v>46381</v>
      </c>
      <c r="B97" s="3" t="s">
        <v>504</v>
      </c>
      <c r="C97" s="18" t="s">
        <v>8</v>
      </c>
      <c r="D97" s="7" t="n">
        <v>0</v>
      </c>
      <c r="E97" s="3"/>
      <c r="F97" s="3"/>
      <c r="G97" s="3"/>
      <c r="H97" s="3"/>
      <c r="I97" s="3"/>
      <c r="J97" s="3" t="s">
        <v>42</v>
      </c>
      <c r="K97" s="3"/>
    </row>
    <row r="98" customFormat="false" ht="15" hidden="false" customHeight="false" outlineLevel="0" collapsed="false">
      <c r="A98" s="15" t="n">
        <v>46382</v>
      </c>
      <c r="B98" s="14" t="s">
        <v>505</v>
      </c>
      <c r="C98" s="14" t="s">
        <v>8</v>
      </c>
      <c r="D98" s="16" t="n">
        <v>0</v>
      </c>
      <c r="E98" s="14"/>
      <c r="F98" s="14"/>
      <c r="G98" s="14"/>
      <c r="H98" s="14"/>
      <c r="I98" s="14"/>
      <c r="J98" s="14" t="s">
        <v>42</v>
      </c>
      <c r="K98" s="14"/>
    </row>
    <row r="99" customFormat="false" ht="15" hidden="false" customHeight="false" outlineLevel="0" collapsed="false">
      <c r="A99" s="9" t="n">
        <v>46383</v>
      </c>
      <c r="B99" s="3" t="s">
        <v>506</v>
      </c>
      <c r="C99" s="18" t="s">
        <v>8</v>
      </c>
      <c r="D99" s="7" t="n">
        <v>0</v>
      </c>
      <c r="E99" s="3"/>
      <c r="F99" s="3"/>
      <c r="G99" s="3"/>
      <c r="H99" s="3"/>
      <c r="I99" s="3"/>
      <c r="J99" s="3" t="s">
        <v>42</v>
      </c>
      <c r="K99" s="3"/>
    </row>
    <row r="100" customFormat="false" ht="15" hidden="false" customHeight="false" outlineLevel="0" collapsed="false">
      <c r="A100" s="15" t="n">
        <v>46384</v>
      </c>
      <c r="B100" s="14" t="s">
        <v>500</v>
      </c>
      <c r="C100" s="14" t="s">
        <v>8</v>
      </c>
      <c r="D100" s="16" t="n">
        <v>0</v>
      </c>
      <c r="E100" s="14"/>
      <c r="F100" s="14"/>
      <c r="G100" s="14"/>
      <c r="H100" s="14"/>
      <c r="I100" s="14"/>
      <c r="J100" s="14" t="s">
        <v>42</v>
      </c>
      <c r="K100" s="14"/>
    </row>
    <row r="101" customFormat="false" ht="15" hidden="false" customHeight="false" outlineLevel="0" collapsed="false">
      <c r="A101" s="9" t="n">
        <v>46385</v>
      </c>
      <c r="B101" s="3" t="s">
        <v>501</v>
      </c>
      <c r="C101" s="18" t="s">
        <v>8</v>
      </c>
      <c r="D101" s="7" t="n">
        <v>0</v>
      </c>
      <c r="E101" s="3"/>
      <c r="F101" s="3"/>
      <c r="G101" s="3"/>
      <c r="H101" s="3"/>
      <c r="I101" s="3"/>
      <c r="J101" s="3" t="s">
        <v>42</v>
      </c>
      <c r="K101" s="3"/>
    </row>
    <row r="102" customFormat="false" ht="15" hidden="false" customHeight="false" outlineLevel="0" collapsed="false">
      <c r="A102" s="15" t="n">
        <v>46386</v>
      </c>
      <c r="B102" s="14" t="s">
        <v>502</v>
      </c>
      <c r="C102" s="14" t="s">
        <v>8</v>
      </c>
      <c r="D102" s="16" t="n">
        <v>0</v>
      </c>
      <c r="E102" s="14"/>
      <c r="F102" s="14"/>
      <c r="G102" s="14"/>
      <c r="H102" s="14"/>
      <c r="I102" s="14"/>
      <c r="J102" s="14" t="s">
        <v>42</v>
      </c>
      <c r="K102" s="14"/>
    </row>
    <row r="103" customFormat="false" ht="15" hidden="false" customHeight="false" outlineLevel="0" collapsed="false">
      <c r="A103" s="9" t="n">
        <v>46387</v>
      </c>
      <c r="B103" s="3" t="s">
        <v>503</v>
      </c>
      <c r="C103" s="18" t="s">
        <v>8</v>
      </c>
      <c r="D103" s="7" t="n">
        <v>0</v>
      </c>
      <c r="E103" s="3"/>
      <c r="F103" s="3"/>
      <c r="G103" s="3"/>
      <c r="H103" s="3"/>
      <c r="I103" s="3"/>
      <c r="J103" s="3" t="s">
        <v>42</v>
      </c>
      <c r="K103" s="3"/>
    </row>
    <row r="104" customFormat="false" ht="15" hidden="false" customHeight="false" outlineLevel="0" collapsed="false">
      <c r="A104" s="15" t="n">
        <v>46388</v>
      </c>
      <c r="B104" s="14" t="s">
        <v>504</v>
      </c>
      <c r="C104" s="14" t="s">
        <v>8</v>
      </c>
      <c r="D104" s="16" t="n">
        <v>0</v>
      </c>
      <c r="E104" s="14"/>
      <c r="F104" s="14"/>
      <c r="G104" s="14"/>
      <c r="H104" s="14"/>
      <c r="I104" s="14"/>
      <c r="J104" s="14" t="s">
        <v>42</v>
      </c>
      <c r="K104" s="14"/>
    </row>
  </sheetData>
  <autoFilter ref="A1:K61"/>
  <conditionalFormatting sqref="C2:C104">
    <cfRule type="expression" priority="2" aboveAverage="0" equalAverage="0" bottom="0" percent="0" rank="0" text="" dxfId="7">
      <formula>C2="Done"</formula>
    </cfRule>
  </conditionalFormatting>
  <dataValidations count="1">
    <dataValidation allowBlank="false" errorStyle="stop" operator="between" showDropDown="false" showErrorMessage="false" showInputMessage="false" sqref="C2:C104" type="list">
      <formula1>Lists!$A$2:$A$6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&amp;CFormiva Project Management Dashboard | &amp;P of &amp;N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48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13" t="s">
        <v>507</v>
      </c>
      <c r="B1" s="13" t="s">
        <v>508</v>
      </c>
      <c r="C1" s="13" t="s">
        <v>509</v>
      </c>
      <c r="D1" s="13" t="s">
        <v>67</v>
      </c>
      <c r="E1" s="13" t="s">
        <v>70</v>
      </c>
      <c r="F1" s="13" t="s">
        <v>38</v>
      </c>
      <c r="G1" s="13" t="s">
        <v>73</v>
      </c>
    </row>
    <row r="2" customFormat="false" ht="28.35" hidden="false" customHeight="false" outlineLevel="0" collapsed="false">
      <c r="A2" s="14" t="s">
        <v>85</v>
      </c>
      <c r="B2" s="15" t="n">
        <v>46298</v>
      </c>
      <c r="C2" s="14" t="s">
        <v>510</v>
      </c>
      <c r="D2" s="19" t="s">
        <v>8</v>
      </c>
      <c r="E2" s="16" t="n">
        <v>0</v>
      </c>
      <c r="F2" s="14" t="s">
        <v>42</v>
      </c>
      <c r="G2" s="14" t="s">
        <v>511</v>
      </c>
    </row>
    <row r="3" customFormat="false" ht="28.35" hidden="false" customHeight="false" outlineLevel="0" collapsed="false">
      <c r="A3" s="3" t="s">
        <v>512</v>
      </c>
      <c r="B3" s="9" t="n">
        <v>46304</v>
      </c>
      <c r="C3" s="3" t="s">
        <v>513</v>
      </c>
      <c r="D3" s="20" t="s">
        <v>8</v>
      </c>
      <c r="E3" s="7" t="n">
        <v>0</v>
      </c>
      <c r="F3" s="3" t="s">
        <v>42</v>
      </c>
      <c r="G3" s="3" t="s">
        <v>514</v>
      </c>
    </row>
    <row r="4" customFormat="false" ht="28.35" hidden="false" customHeight="false" outlineLevel="0" collapsed="false">
      <c r="A4" s="14" t="s">
        <v>515</v>
      </c>
      <c r="B4" s="15" t="n">
        <v>46311</v>
      </c>
      <c r="C4" s="14" t="s">
        <v>516</v>
      </c>
      <c r="D4" s="19" t="s">
        <v>8</v>
      </c>
      <c r="E4" s="16" t="n">
        <v>0</v>
      </c>
      <c r="F4" s="14" t="s">
        <v>42</v>
      </c>
      <c r="G4" s="14" t="s">
        <v>517</v>
      </c>
    </row>
    <row r="5" customFormat="false" ht="28.35" hidden="false" customHeight="false" outlineLevel="0" collapsed="false">
      <c r="A5" s="3" t="s">
        <v>518</v>
      </c>
      <c r="B5" s="9" t="n">
        <v>46318</v>
      </c>
      <c r="C5" s="3" t="s">
        <v>519</v>
      </c>
      <c r="D5" s="20" t="s">
        <v>8</v>
      </c>
      <c r="E5" s="7" t="n">
        <v>0</v>
      </c>
      <c r="F5" s="3" t="s">
        <v>42</v>
      </c>
      <c r="G5" s="3" t="s">
        <v>520</v>
      </c>
    </row>
    <row r="6" customFormat="false" ht="28.35" hidden="false" customHeight="false" outlineLevel="0" collapsed="false">
      <c r="A6" s="14" t="s">
        <v>521</v>
      </c>
      <c r="B6" s="15" t="n">
        <v>46325</v>
      </c>
      <c r="C6" s="14" t="s">
        <v>522</v>
      </c>
      <c r="D6" s="19" t="s">
        <v>8</v>
      </c>
      <c r="E6" s="16" t="n">
        <v>0</v>
      </c>
      <c r="F6" s="14" t="s">
        <v>42</v>
      </c>
      <c r="G6" s="14" t="s">
        <v>523</v>
      </c>
    </row>
    <row r="7" customFormat="false" ht="28.35" hidden="false" customHeight="false" outlineLevel="0" collapsed="false">
      <c r="A7" s="3" t="s">
        <v>524</v>
      </c>
      <c r="B7" s="9" t="n">
        <v>46332</v>
      </c>
      <c r="C7" s="3" t="s">
        <v>525</v>
      </c>
      <c r="D7" s="20" t="s">
        <v>8</v>
      </c>
      <c r="E7" s="7" t="n">
        <v>0</v>
      </c>
      <c r="F7" s="3" t="s">
        <v>42</v>
      </c>
      <c r="G7" s="3" t="s">
        <v>526</v>
      </c>
    </row>
    <row r="8" customFormat="false" ht="28.35" hidden="false" customHeight="false" outlineLevel="0" collapsed="false">
      <c r="A8" s="14" t="s">
        <v>527</v>
      </c>
      <c r="B8" s="15" t="n">
        <v>46353</v>
      </c>
      <c r="C8" s="14" t="s">
        <v>528</v>
      </c>
      <c r="D8" s="19" t="s">
        <v>8</v>
      </c>
      <c r="E8" s="16" t="n">
        <v>0</v>
      </c>
      <c r="F8" s="14" t="s">
        <v>42</v>
      </c>
      <c r="G8" s="14" t="s">
        <v>529</v>
      </c>
    </row>
    <row r="9" customFormat="false" ht="28.35" hidden="false" customHeight="false" outlineLevel="0" collapsed="false">
      <c r="A9" s="3" t="s">
        <v>530</v>
      </c>
      <c r="B9" s="9" t="n">
        <v>46388</v>
      </c>
      <c r="C9" s="3" t="s">
        <v>531</v>
      </c>
      <c r="D9" s="20" t="s">
        <v>8</v>
      </c>
      <c r="E9" s="7" t="n">
        <v>0</v>
      </c>
      <c r="F9" s="3" t="s">
        <v>42</v>
      </c>
      <c r="G9" s="3" t="s">
        <v>532</v>
      </c>
    </row>
    <row r="10" customFormat="false" ht="28.35" hidden="false" customHeight="false" outlineLevel="0" collapsed="false">
      <c r="A10" s="14" t="s">
        <v>533</v>
      </c>
      <c r="B10" s="15" t="n">
        <v>46444</v>
      </c>
      <c r="C10" s="14" t="s">
        <v>534</v>
      </c>
      <c r="D10" s="19" t="s">
        <v>8</v>
      </c>
      <c r="E10" s="16" t="n">
        <v>0</v>
      </c>
      <c r="F10" s="14" t="s">
        <v>42</v>
      </c>
      <c r="G10" s="14" t="s">
        <v>535</v>
      </c>
    </row>
    <row r="11" customFormat="false" ht="15" hidden="false" customHeight="false" outlineLevel="0" collapsed="false">
      <c r="A11" s="3" t="s">
        <v>536</v>
      </c>
      <c r="B11" s="9" t="n">
        <v>46472</v>
      </c>
      <c r="C11" s="3" t="s">
        <v>537</v>
      </c>
      <c r="D11" s="20" t="s">
        <v>8</v>
      </c>
      <c r="E11" s="7" t="n">
        <v>0</v>
      </c>
      <c r="F11" s="3" t="s">
        <v>42</v>
      </c>
      <c r="G11" s="3" t="s">
        <v>538</v>
      </c>
    </row>
    <row r="12" customFormat="false" ht="28.35" hidden="false" customHeight="false" outlineLevel="0" collapsed="false">
      <c r="A12" s="14" t="s">
        <v>539</v>
      </c>
      <c r="B12" s="15" t="n">
        <v>46520</v>
      </c>
      <c r="C12" s="14" t="s">
        <v>540</v>
      </c>
      <c r="D12" s="19" t="s">
        <v>8</v>
      </c>
      <c r="E12" s="16" t="n">
        <v>0</v>
      </c>
      <c r="F12" s="14" t="s">
        <v>42</v>
      </c>
      <c r="G12" s="14" t="s">
        <v>541</v>
      </c>
    </row>
    <row r="13" customFormat="false" ht="28.35" hidden="false" customHeight="false" outlineLevel="0" collapsed="false">
      <c r="A13" s="3" t="s">
        <v>542</v>
      </c>
      <c r="B13" s="9" t="n">
        <v>46538</v>
      </c>
      <c r="C13" s="3" t="s">
        <v>543</v>
      </c>
      <c r="D13" s="20" t="s">
        <v>8</v>
      </c>
      <c r="E13" s="7" t="n">
        <v>0</v>
      </c>
      <c r="F13" s="3" t="s">
        <v>42</v>
      </c>
      <c r="G13" s="3" t="s">
        <v>544</v>
      </c>
    </row>
  </sheetData>
  <autoFilter ref="A1:G7"/>
  <conditionalFormatting sqref="D2:D13">
    <cfRule type="expression" priority="2" aboveAverage="0" equalAverage="0" bottom="0" percent="0" rank="0" text="" dxfId="7">
      <formula>D2="Done"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&amp;CFormiva Project Management Dashboard | &amp;P of &amp;N</oddFooter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60"/>
    <col collapsed="false" customWidth="true" hidden="false" outlineLevel="0" max="7" min="7" style="0" width="15"/>
    <col collapsed="false" customWidth="true" hidden="false" outlineLevel="0" max="9" min="8" style="0" width="14"/>
  </cols>
  <sheetData>
    <row r="1" customFormat="false" ht="15" hidden="false" customHeight="false" outlineLevel="0" collapsed="false">
      <c r="A1" s="13" t="s">
        <v>63</v>
      </c>
      <c r="B1" s="13" t="s">
        <v>545</v>
      </c>
      <c r="C1" s="13" t="s">
        <v>546</v>
      </c>
      <c r="D1" s="13" t="s">
        <v>547</v>
      </c>
      <c r="E1" s="13" t="s">
        <v>548</v>
      </c>
      <c r="F1" s="13" t="s">
        <v>549</v>
      </c>
      <c r="G1" s="13" t="s">
        <v>38</v>
      </c>
      <c r="H1" s="13" t="s">
        <v>67</v>
      </c>
      <c r="I1" s="13" t="s">
        <v>550</v>
      </c>
    </row>
    <row r="2" customFormat="false" ht="41.75" hidden="false" customHeight="false" outlineLevel="0" collapsed="false">
      <c r="A2" s="14" t="s">
        <v>551</v>
      </c>
      <c r="B2" s="14" t="s">
        <v>552</v>
      </c>
      <c r="C2" s="14" t="s">
        <v>553</v>
      </c>
      <c r="D2" s="14" t="s">
        <v>43</v>
      </c>
      <c r="E2" s="14" t="s">
        <v>43</v>
      </c>
      <c r="F2" s="14" t="s">
        <v>554</v>
      </c>
      <c r="G2" s="14" t="s">
        <v>42</v>
      </c>
      <c r="H2" s="14" t="s">
        <v>555</v>
      </c>
      <c r="I2" s="15" t="n">
        <v>46290</v>
      </c>
    </row>
    <row r="3" customFormat="false" ht="28.35" hidden="false" customHeight="false" outlineLevel="0" collapsed="false">
      <c r="A3" s="3" t="s">
        <v>556</v>
      </c>
      <c r="B3" s="3" t="s">
        <v>552</v>
      </c>
      <c r="C3" s="3" t="s">
        <v>557</v>
      </c>
      <c r="D3" s="3" t="s">
        <v>43</v>
      </c>
      <c r="E3" s="3" t="s">
        <v>46</v>
      </c>
      <c r="F3" s="3" t="s">
        <v>558</v>
      </c>
      <c r="G3" s="3" t="s">
        <v>42</v>
      </c>
      <c r="H3" s="3" t="s">
        <v>555</v>
      </c>
      <c r="I3" s="9" t="n">
        <v>46332</v>
      </c>
    </row>
    <row r="4" customFormat="false" ht="28.35" hidden="false" customHeight="false" outlineLevel="0" collapsed="false">
      <c r="A4" s="14" t="s">
        <v>559</v>
      </c>
      <c r="B4" s="14" t="s">
        <v>552</v>
      </c>
      <c r="C4" s="14" t="s">
        <v>560</v>
      </c>
      <c r="D4" s="14" t="s">
        <v>43</v>
      </c>
      <c r="E4" s="14" t="s">
        <v>46</v>
      </c>
      <c r="F4" s="14" t="s">
        <v>561</v>
      </c>
      <c r="G4" s="14" t="s">
        <v>42</v>
      </c>
      <c r="H4" s="14" t="s">
        <v>555</v>
      </c>
      <c r="I4" s="15" t="n">
        <v>46315</v>
      </c>
    </row>
    <row r="5" customFormat="false" ht="28.35" hidden="false" customHeight="false" outlineLevel="0" collapsed="false">
      <c r="A5" s="3" t="s">
        <v>562</v>
      </c>
      <c r="B5" s="3" t="s">
        <v>552</v>
      </c>
      <c r="C5" s="3" t="s">
        <v>563</v>
      </c>
      <c r="D5" s="3" t="s">
        <v>43</v>
      </c>
      <c r="E5" s="3" t="s">
        <v>43</v>
      </c>
      <c r="F5" s="3" t="s">
        <v>564</v>
      </c>
      <c r="G5" s="3" t="s">
        <v>42</v>
      </c>
      <c r="H5" s="3" t="s">
        <v>555</v>
      </c>
      <c r="I5" s="9" t="n">
        <v>46290</v>
      </c>
    </row>
    <row r="6" customFormat="false" ht="41.75" hidden="false" customHeight="false" outlineLevel="0" collapsed="false">
      <c r="A6" s="14" t="s">
        <v>565</v>
      </c>
      <c r="B6" s="14" t="s">
        <v>552</v>
      </c>
      <c r="C6" s="14" t="s">
        <v>566</v>
      </c>
      <c r="D6" s="14" t="s">
        <v>43</v>
      </c>
      <c r="E6" s="14" t="s">
        <v>43</v>
      </c>
      <c r="F6" s="14" t="s">
        <v>567</v>
      </c>
      <c r="G6" s="14" t="s">
        <v>42</v>
      </c>
      <c r="H6" s="14" t="s">
        <v>555</v>
      </c>
      <c r="I6" s="15" t="n">
        <v>46304</v>
      </c>
    </row>
    <row r="7" customFormat="false" ht="28.35" hidden="false" customHeight="false" outlineLevel="0" collapsed="false">
      <c r="A7" s="3" t="s">
        <v>568</v>
      </c>
      <c r="B7" s="3" t="s">
        <v>552</v>
      </c>
      <c r="C7" s="3" t="s">
        <v>569</v>
      </c>
      <c r="D7" s="3" t="s">
        <v>43</v>
      </c>
      <c r="E7" s="3" t="s">
        <v>46</v>
      </c>
      <c r="F7" s="3" t="s">
        <v>570</v>
      </c>
      <c r="G7" s="3" t="s">
        <v>42</v>
      </c>
      <c r="H7" s="3" t="s">
        <v>555</v>
      </c>
      <c r="I7" s="9" t="n">
        <v>46304</v>
      </c>
    </row>
    <row r="8" customFormat="false" ht="28.35" hidden="false" customHeight="false" outlineLevel="0" collapsed="false">
      <c r="A8" s="14" t="s">
        <v>571</v>
      </c>
      <c r="B8" s="14" t="s">
        <v>552</v>
      </c>
      <c r="C8" s="14" t="s">
        <v>572</v>
      </c>
      <c r="D8" s="14" t="s">
        <v>43</v>
      </c>
      <c r="E8" s="14" t="s">
        <v>46</v>
      </c>
      <c r="F8" s="14" t="s">
        <v>573</v>
      </c>
      <c r="G8" s="14" t="s">
        <v>42</v>
      </c>
      <c r="H8" s="14" t="s">
        <v>555</v>
      </c>
      <c r="I8" s="15" t="n">
        <v>46289</v>
      </c>
    </row>
    <row r="9" customFormat="false" ht="28.35" hidden="false" customHeight="false" outlineLevel="0" collapsed="false">
      <c r="A9" s="3" t="s">
        <v>574</v>
      </c>
      <c r="B9" s="3" t="s">
        <v>552</v>
      </c>
      <c r="C9" s="3" t="s">
        <v>575</v>
      </c>
      <c r="D9" s="3" t="s">
        <v>46</v>
      </c>
      <c r="E9" s="3" t="s">
        <v>43</v>
      </c>
      <c r="F9" s="3" t="s">
        <v>576</v>
      </c>
      <c r="G9" s="3" t="s">
        <v>42</v>
      </c>
      <c r="H9" s="3" t="s">
        <v>555</v>
      </c>
      <c r="I9" s="9" t="n">
        <v>46444</v>
      </c>
    </row>
    <row r="10" customFormat="false" ht="28.35" hidden="false" customHeight="false" outlineLevel="0" collapsed="false">
      <c r="A10" s="14" t="s">
        <v>577</v>
      </c>
      <c r="B10" s="14" t="s">
        <v>552</v>
      </c>
      <c r="C10" s="14" t="s">
        <v>578</v>
      </c>
      <c r="D10" s="14" t="s">
        <v>46</v>
      </c>
      <c r="E10" s="14" t="s">
        <v>46</v>
      </c>
      <c r="F10" s="14" t="s">
        <v>579</v>
      </c>
      <c r="G10" s="14" t="s">
        <v>42</v>
      </c>
      <c r="H10" s="14" t="s">
        <v>555</v>
      </c>
      <c r="I10" s="15" t="n">
        <v>46296</v>
      </c>
    </row>
    <row r="11" customFormat="false" ht="28.35" hidden="false" customHeight="false" outlineLevel="0" collapsed="false">
      <c r="A11" s="3" t="s">
        <v>580</v>
      </c>
      <c r="B11" s="3" t="s">
        <v>552</v>
      </c>
      <c r="C11" s="3" t="s">
        <v>581</v>
      </c>
      <c r="D11" s="3" t="s">
        <v>43</v>
      </c>
      <c r="E11" s="3" t="s">
        <v>46</v>
      </c>
      <c r="F11" s="3" t="s">
        <v>582</v>
      </c>
      <c r="G11" s="3" t="s">
        <v>42</v>
      </c>
      <c r="H11" s="3" t="s">
        <v>555</v>
      </c>
      <c r="I11" s="9" t="n">
        <v>46339</v>
      </c>
    </row>
    <row r="12" customFormat="false" ht="28.35" hidden="false" customHeight="false" outlineLevel="0" collapsed="false">
      <c r="A12" s="14" t="s">
        <v>583</v>
      </c>
      <c r="B12" s="14" t="s">
        <v>552</v>
      </c>
      <c r="C12" s="14" t="s">
        <v>584</v>
      </c>
      <c r="D12" s="14" t="s">
        <v>43</v>
      </c>
      <c r="E12" s="14" t="s">
        <v>46</v>
      </c>
      <c r="F12" s="14" t="s">
        <v>585</v>
      </c>
      <c r="G12" s="14" t="s">
        <v>42</v>
      </c>
      <c r="H12" s="14" t="s">
        <v>555</v>
      </c>
      <c r="I12" s="15" t="n">
        <v>46331</v>
      </c>
    </row>
    <row r="13" customFormat="false" ht="28.35" hidden="false" customHeight="false" outlineLevel="0" collapsed="false">
      <c r="A13" s="3" t="s">
        <v>586</v>
      </c>
      <c r="B13" s="3" t="s">
        <v>552</v>
      </c>
      <c r="C13" s="3" t="s">
        <v>587</v>
      </c>
      <c r="D13" s="3" t="s">
        <v>46</v>
      </c>
      <c r="E13" s="3" t="s">
        <v>46</v>
      </c>
      <c r="F13" s="3" t="s">
        <v>588</v>
      </c>
      <c r="G13" s="3" t="s">
        <v>42</v>
      </c>
      <c r="H13" s="3" t="s">
        <v>555</v>
      </c>
      <c r="I13" s="9" t="n">
        <v>46297</v>
      </c>
    </row>
    <row r="14" customFormat="false" ht="28.35" hidden="false" customHeight="false" outlineLevel="0" collapsed="false">
      <c r="A14" s="14" t="s">
        <v>589</v>
      </c>
      <c r="B14" s="14" t="s">
        <v>552</v>
      </c>
      <c r="C14" s="14" t="s">
        <v>590</v>
      </c>
      <c r="D14" s="14" t="s">
        <v>46</v>
      </c>
      <c r="E14" s="14" t="s">
        <v>43</v>
      </c>
      <c r="F14" s="14" t="s">
        <v>591</v>
      </c>
      <c r="G14" s="14" t="s">
        <v>42</v>
      </c>
      <c r="H14" s="14" t="s">
        <v>555</v>
      </c>
      <c r="I14" s="15" t="n">
        <v>46298</v>
      </c>
    </row>
    <row r="15" customFormat="false" ht="28.35" hidden="false" customHeight="false" outlineLevel="0" collapsed="false">
      <c r="A15" s="3" t="s">
        <v>592</v>
      </c>
      <c r="B15" s="3" t="s">
        <v>552</v>
      </c>
      <c r="C15" s="3" t="s">
        <v>593</v>
      </c>
      <c r="D15" s="3" t="s">
        <v>43</v>
      </c>
      <c r="E15" s="3" t="s">
        <v>46</v>
      </c>
      <c r="F15" s="3" t="s">
        <v>594</v>
      </c>
      <c r="G15" s="3" t="s">
        <v>42</v>
      </c>
      <c r="H15" s="3" t="s">
        <v>555</v>
      </c>
      <c r="I15" s="9" t="n">
        <v>46402</v>
      </c>
    </row>
    <row r="16" customFormat="false" ht="28.35" hidden="false" customHeight="false" outlineLevel="0" collapsed="false">
      <c r="A16" s="14" t="s">
        <v>595</v>
      </c>
      <c r="B16" s="14" t="s">
        <v>596</v>
      </c>
      <c r="C16" s="14" t="s">
        <v>597</v>
      </c>
      <c r="D16" s="14" t="s">
        <v>43</v>
      </c>
      <c r="E16" s="14" t="s">
        <v>49</v>
      </c>
      <c r="F16" s="14" t="s">
        <v>598</v>
      </c>
      <c r="G16" s="14" t="s">
        <v>42</v>
      </c>
      <c r="H16" s="14" t="s">
        <v>599</v>
      </c>
      <c r="I16" s="15" t="n">
        <v>46285</v>
      </c>
    </row>
    <row r="17" customFormat="false" ht="15" hidden="false" customHeight="false" outlineLevel="0" collapsed="false">
      <c r="A17" s="3" t="s">
        <v>600</v>
      </c>
      <c r="B17" s="3" t="s">
        <v>596</v>
      </c>
      <c r="C17" s="3" t="s">
        <v>601</v>
      </c>
      <c r="D17" s="3" t="s">
        <v>46</v>
      </c>
      <c r="E17" s="3" t="s">
        <v>49</v>
      </c>
      <c r="F17" s="3" t="s">
        <v>602</v>
      </c>
      <c r="G17" s="3" t="s">
        <v>42</v>
      </c>
      <c r="H17" s="3" t="s">
        <v>599</v>
      </c>
      <c r="I17" s="9" t="n">
        <v>46285</v>
      </c>
    </row>
    <row r="18" customFormat="false" ht="28.35" hidden="false" customHeight="false" outlineLevel="0" collapsed="false">
      <c r="A18" s="14" t="s">
        <v>603</v>
      </c>
      <c r="B18" s="14" t="s">
        <v>596</v>
      </c>
      <c r="C18" s="14" t="s">
        <v>604</v>
      </c>
      <c r="D18" s="14" t="s">
        <v>46</v>
      </c>
      <c r="E18" s="14" t="s">
        <v>49</v>
      </c>
      <c r="F18" s="14" t="s">
        <v>605</v>
      </c>
      <c r="G18" s="14" t="s">
        <v>42</v>
      </c>
      <c r="H18" s="14" t="s">
        <v>599</v>
      </c>
      <c r="I18" s="15" t="n">
        <v>46285</v>
      </c>
    </row>
    <row r="19" customFormat="false" ht="28.35" hidden="false" customHeight="false" outlineLevel="0" collapsed="false">
      <c r="A19" s="3" t="s">
        <v>606</v>
      </c>
      <c r="B19" s="3" t="s">
        <v>596</v>
      </c>
      <c r="C19" s="3" t="s">
        <v>607</v>
      </c>
      <c r="D19" s="3" t="s">
        <v>46</v>
      </c>
      <c r="E19" s="3" t="s">
        <v>49</v>
      </c>
      <c r="F19" s="3" t="s">
        <v>608</v>
      </c>
      <c r="G19" s="3" t="s">
        <v>42</v>
      </c>
      <c r="H19" s="3" t="s">
        <v>599</v>
      </c>
      <c r="I19" s="9" t="n">
        <v>46285</v>
      </c>
    </row>
    <row r="20" customFormat="false" ht="28.35" hidden="false" customHeight="false" outlineLevel="0" collapsed="false">
      <c r="A20" s="14" t="s">
        <v>609</v>
      </c>
      <c r="B20" s="14" t="s">
        <v>596</v>
      </c>
      <c r="C20" s="14" t="s">
        <v>610</v>
      </c>
      <c r="D20" s="14" t="s">
        <v>46</v>
      </c>
      <c r="E20" s="14" t="s">
        <v>49</v>
      </c>
      <c r="F20" s="14" t="s">
        <v>611</v>
      </c>
      <c r="G20" s="14" t="s">
        <v>42</v>
      </c>
      <c r="H20" s="14" t="s">
        <v>599</v>
      </c>
      <c r="I20" s="15" t="n">
        <v>46285</v>
      </c>
    </row>
    <row r="21" customFormat="false" ht="28.35" hidden="false" customHeight="false" outlineLevel="0" collapsed="false">
      <c r="A21" s="3" t="s">
        <v>612</v>
      </c>
      <c r="B21" s="3" t="s">
        <v>596</v>
      </c>
      <c r="C21" s="3" t="s">
        <v>613</v>
      </c>
      <c r="D21" s="3" t="s">
        <v>46</v>
      </c>
      <c r="E21" s="3" t="s">
        <v>49</v>
      </c>
      <c r="F21" s="3" t="s">
        <v>614</v>
      </c>
      <c r="G21" s="3" t="s">
        <v>42</v>
      </c>
      <c r="H21" s="3" t="s">
        <v>599</v>
      </c>
      <c r="I21" s="9" t="n">
        <v>46285</v>
      </c>
    </row>
    <row r="22" customFormat="false" ht="28.35" hidden="false" customHeight="false" outlineLevel="0" collapsed="false">
      <c r="A22" s="14" t="s">
        <v>615</v>
      </c>
      <c r="B22" s="14" t="s">
        <v>596</v>
      </c>
      <c r="C22" s="14" t="s">
        <v>616</v>
      </c>
      <c r="D22" s="14" t="s">
        <v>46</v>
      </c>
      <c r="E22" s="14" t="s">
        <v>49</v>
      </c>
      <c r="F22" s="14" t="s">
        <v>617</v>
      </c>
      <c r="G22" s="14" t="s">
        <v>42</v>
      </c>
      <c r="H22" s="14" t="s">
        <v>599</v>
      </c>
      <c r="I22" s="15" t="n">
        <v>46285</v>
      </c>
    </row>
    <row r="23" customFormat="false" ht="28.35" hidden="false" customHeight="false" outlineLevel="0" collapsed="false">
      <c r="A23" s="3" t="s">
        <v>618</v>
      </c>
      <c r="B23" s="3" t="s">
        <v>596</v>
      </c>
      <c r="C23" s="3" t="s">
        <v>619</v>
      </c>
      <c r="D23" s="3" t="s">
        <v>43</v>
      </c>
      <c r="E23" s="3" t="s">
        <v>49</v>
      </c>
      <c r="F23" s="3" t="s">
        <v>620</v>
      </c>
      <c r="G23" s="3" t="s">
        <v>42</v>
      </c>
      <c r="H23" s="3" t="s">
        <v>599</v>
      </c>
      <c r="I23" s="9" t="n">
        <v>46285</v>
      </c>
    </row>
    <row r="24" customFormat="false" ht="28.35" hidden="false" customHeight="false" outlineLevel="0" collapsed="false">
      <c r="A24" s="14" t="s">
        <v>621</v>
      </c>
      <c r="B24" s="14" t="s">
        <v>596</v>
      </c>
      <c r="C24" s="14" t="s">
        <v>622</v>
      </c>
      <c r="D24" s="14" t="s">
        <v>43</v>
      </c>
      <c r="E24" s="14" t="s">
        <v>49</v>
      </c>
      <c r="F24" s="14" t="s">
        <v>623</v>
      </c>
      <c r="G24" s="14" t="s">
        <v>42</v>
      </c>
      <c r="H24" s="14" t="s">
        <v>599</v>
      </c>
      <c r="I24" s="15" t="n">
        <v>46285</v>
      </c>
    </row>
    <row r="25" customFormat="false" ht="15" hidden="false" customHeight="false" outlineLevel="0" collapsed="false">
      <c r="A25" s="3" t="s">
        <v>624</v>
      </c>
      <c r="B25" s="3" t="s">
        <v>596</v>
      </c>
      <c r="C25" s="3" t="s">
        <v>625</v>
      </c>
      <c r="D25" s="3" t="s">
        <v>46</v>
      </c>
      <c r="E25" s="3" t="s">
        <v>49</v>
      </c>
      <c r="F25" s="3" t="s">
        <v>626</v>
      </c>
      <c r="G25" s="3" t="s">
        <v>42</v>
      </c>
      <c r="H25" s="3" t="s">
        <v>599</v>
      </c>
      <c r="I25" s="9" t="n">
        <v>46285</v>
      </c>
    </row>
    <row r="26" customFormat="false" ht="15" hidden="false" customHeight="false" outlineLevel="0" collapsed="false">
      <c r="A26" s="14" t="s">
        <v>627</v>
      </c>
      <c r="B26" s="14" t="s">
        <v>596</v>
      </c>
      <c r="C26" s="14" t="s">
        <v>628</v>
      </c>
      <c r="D26" s="14" t="s">
        <v>43</v>
      </c>
      <c r="E26" s="14" t="s">
        <v>49</v>
      </c>
      <c r="F26" s="14" t="s">
        <v>629</v>
      </c>
      <c r="G26" s="14" t="s">
        <v>42</v>
      </c>
      <c r="H26" s="14" t="s">
        <v>599</v>
      </c>
      <c r="I26" s="15" t="n">
        <v>46285</v>
      </c>
    </row>
    <row r="27" customFormat="false" ht="28.35" hidden="false" customHeight="false" outlineLevel="0" collapsed="false">
      <c r="A27" s="3" t="s">
        <v>630</v>
      </c>
      <c r="B27" s="3" t="s">
        <v>596</v>
      </c>
      <c r="C27" s="3" t="s">
        <v>631</v>
      </c>
      <c r="D27" s="3" t="s">
        <v>46</v>
      </c>
      <c r="E27" s="3" t="s">
        <v>49</v>
      </c>
      <c r="F27" s="3" t="s">
        <v>632</v>
      </c>
      <c r="G27" s="3" t="s">
        <v>42</v>
      </c>
      <c r="H27" s="3" t="s">
        <v>599</v>
      </c>
      <c r="I27" s="9" t="n">
        <v>46285</v>
      </c>
    </row>
    <row r="28" customFormat="false" ht="15" hidden="false" customHeight="false" outlineLevel="0" collapsed="false">
      <c r="A28" s="14" t="s">
        <v>633</v>
      </c>
      <c r="B28" s="14" t="s">
        <v>596</v>
      </c>
      <c r="C28" s="14" t="s">
        <v>634</v>
      </c>
      <c r="D28" s="14" t="s">
        <v>43</v>
      </c>
      <c r="E28" s="14" t="s">
        <v>46</v>
      </c>
      <c r="F28" s="14" t="s">
        <v>635</v>
      </c>
      <c r="G28" s="14" t="s">
        <v>42</v>
      </c>
      <c r="H28" s="14" t="s">
        <v>555</v>
      </c>
      <c r="I28" s="15" t="n">
        <v>46332</v>
      </c>
    </row>
    <row r="29" customFormat="false" ht="28.35" hidden="false" customHeight="false" outlineLevel="0" collapsed="false">
      <c r="A29" s="3" t="s">
        <v>636</v>
      </c>
      <c r="B29" s="3" t="s">
        <v>596</v>
      </c>
      <c r="C29" s="3" t="s">
        <v>637</v>
      </c>
      <c r="D29" s="3" t="s">
        <v>46</v>
      </c>
      <c r="E29" s="3" t="s">
        <v>46</v>
      </c>
      <c r="F29" s="3" t="s">
        <v>638</v>
      </c>
      <c r="G29" s="3" t="s">
        <v>42</v>
      </c>
      <c r="H29" s="3" t="s">
        <v>555</v>
      </c>
      <c r="I29" s="9" t="n">
        <v>46296</v>
      </c>
    </row>
    <row r="30" customFormat="false" ht="28.35" hidden="false" customHeight="false" outlineLevel="0" collapsed="false">
      <c r="A30" s="14" t="s">
        <v>639</v>
      </c>
      <c r="B30" s="14" t="s">
        <v>596</v>
      </c>
      <c r="C30" s="14" t="s">
        <v>640</v>
      </c>
      <c r="D30" s="14" t="s">
        <v>49</v>
      </c>
      <c r="E30" s="14" t="s">
        <v>49</v>
      </c>
      <c r="F30" s="14" t="s">
        <v>641</v>
      </c>
      <c r="G30" s="14" t="s">
        <v>42</v>
      </c>
      <c r="H30" s="14" t="s">
        <v>555</v>
      </c>
      <c r="I30" s="15" t="n">
        <v>46297</v>
      </c>
    </row>
    <row r="31" customFormat="false" ht="28.35" hidden="false" customHeight="false" outlineLevel="0" collapsed="false">
      <c r="A31" s="3" t="s">
        <v>642</v>
      </c>
      <c r="B31" s="3" t="s">
        <v>596</v>
      </c>
      <c r="C31" s="3" t="s">
        <v>643</v>
      </c>
      <c r="D31" s="3" t="s">
        <v>43</v>
      </c>
      <c r="E31" s="3" t="s">
        <v>46</v>
      </c>
      <c r="F31" s="3" t="s">
        <v>644</v>
      </c>
      <c r="G31" s="3" t="s">
        <v>42</v>
      </c>
      <c r="H31" s="3" t="s">
        <v>555</v>
      </c>
      <c r="I31" s="9" t="n">
        <v>46297</v>
      </c>
    </row>
    <row r="32" customFormat="false" ht="15" hidden="false" customHeight="false" outlineLevel="0" collapsed="false">
      <c r="A32" s="14" t="s">
        <v>645</v>
      </c>
      <c r="B32" s="14" t="s">
        <v>596</v>
      </c>
      <c r="C32" s="14" t="s">
        <v>646</v>
      </c>
      <c r="D32" s="14" t="s">
        <v>43</v>
      </c>
      <c r="E32" s="14" t="s">
        <v>46</v>
      </c>
      <c r="F32" s="14" t="s">
        <v>647</v>
      </c>
      <c r="G32" s="14" t="s">
        <v>42</v>
      </c>
      <c r="H32" s="14" t="s">
        <v>555</v>
      </c>
      <c r="I32" s="15" t="n">
        <v>46357</v>
      </c>
    </row>
    <row r="33" customFormat="false" ht="28.35" hidden="false" customHeight="false" outlineLevel="0" collapsed="false">
      <c r="A33" s="3" t="s">
        <v>648</v>
      </c>
      <c r="B33" s="3" t="s">
        <v>596</v>
      </c>
      <c r="C33" s="3" t="s">
        <v>649</v>
      </c>
      <c r="D33" s="3" t="s">
        <v>46</v>
      </c>
      <c r="E33" s="3" t="s">
        <v>46</v>
      </c>
      <c r="F33" s="3" t="s">
        <v>650</v>
      </c>
      <c r="G33" s="3" t="s">
        <v>42</v>
      </c>
      <c r="H33" s="3" t="s">
        <v>555</v>
      </c>
      <c r="I33" s="9" t="n">
        <v>46370</v>
      </c>
    </row>
    <row r="34" customFormat="false" ht="15" hidden="false" customHeight="false" outlineLevel="0" collapsed="false">
      <c r="A34" s="14" t="s">
        <v>651</v>
      </c>
      <c r="B34" s="14" t="s">
        <v>596</v>
      </c>
      <c r="C34" s="14" t="s">
        <v>652</v>
      </c>
      <c r="D34" s="14" t="s">
        <v>46</v>
      </c>
      <c r="E34" s="14" t="s">
        <v>49</v>
      </c>
      <c r="F34" s="14" t="s">
        <v>653</v>
      </c>
      <c r="G34" s="14" t="s">
        <v>42</v>
      </c>
      <c r="H34" s="14" t="s">
        <v>555</v>
      </c>
      <c r="I34" s="15" t="n">
        <v>46370</v>
      </c>
    </row>
  </sheetData>
  <autoFilter ref="A1:I7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&amp;CFormiva Project Management Dashboard | &amp;P of &amp;N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2026-09-05T13:12:03Z</dcterms:created>
  <dc:creator>openpyxl</dc:creator>
  <dc:description/>
  <dc:language>en-US</dc:language>
  <cp:lastModifiedBy/>
  <dcterms:modified xsi:type="dcterms:W3CDTF">2026-09-20T10:54:01Z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